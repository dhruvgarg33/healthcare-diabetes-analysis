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garg/Desktop/"/>
    </mc:Choice>
  </mc:AlternateContent>
  <xr:revisionPtr revIDLastSave="0" documentId="13_ncr:1_{719A53A6-41A5-624B-821A-B6C212F96056}" xr6:coauthVersionLast="47" xr6:coauthVersionMax="47" xr10:uidLastSave="{00000000-0000-0000-0000-000000000000}"/>
  <bookViews>
    <workbookView xWindow="0" yWindow="0" windowWidth="28800" windowHeight="18000" xr2:uid="{A0E1222B-87A1-F943-A38B-4666113478CE}"/>
  </bookViews>
  <sheets>
    <sheet name="diabetes_cleaned" sheetId="1" r:id="rId1"/>
  </sheets>
  <definedNames>
    <definedName name="_xlnm._FilterDatabase" localSheetId="0" hidden="1">diabetes_cleaned!$A$1:$J$2769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" i="1"/>
</calcChain>
</file>

<file path=xl/sharedStrings.xml><?xml version="1.0" encoding="utf-8"?>
<sst xmlns="http://schemas.openxmlformats.org/spreadsheetml/2006/main" count="12" uniqueCount="12">
  <si>
    <t>Id</t>
  </si>
  <si>
    <t>Pregnancies</t>
  </si>
  <si>
    <t>Glucose</t>
  </si>
  <si>
    <t>SkinThickness</t>
  </si>
  <si>
    <t>Insulin</t>
  </si>
  <si>
    <t>BMI</t>
  </si>
  <si>
    <t>DiabetesPedigreeFunction</t>
  </si>
  <si>
    <t>Age</t>
  </si>
  <si>
    <t>Outcome</t>
  </si>
  <si>
    <t xml:space="preserve">AgeGroup </t>
  </si>
  <si>
    <t xml:space="preserve">BMICategory </t>
  </si>
  <si>
    <t xml:space="preserve">BloodPressure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</si>
</sst>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0A14-2372-EF43-A5B2-5C2D18B21502}">
  <dimension ref="A1:L2769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RowHeight="16" x14ac:dyDescent="0.2"/>
  <cols>
    <col min="1" max="1" width="5.1640625" bestFit="1" customWidth="1"/>
    <col min="2" max="2" width="11" bestFit="1" customWidth="1"/>
    <col min="4" max="4" width="20.1640625" bestFit="1" customWidth="1"/>
    <col min="5" max="5" width="12.33203125" bestFit="1" customWidth="1"/>
    <col min="8" max="8" width="23" bestFit="1" customWidth="1"/>
    <col min="11" max="11" width="11.1640625" bestFit="1" customWidth="1"/>
    <col min="14" max="14" width="13.1640625" bestFit="1" customWidth="1"/>
    <col min="15" max="15" width="12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>
        <v>1</v>
      </c>
      <c r="K2" t="str">
        <f>IF(I2&lt;30, "Young", IF( I2&lt;45, "Middle-Aged", "Senior"))</f>
        <v>Senior</v>
      </c>
      <c r="L2" t="str">
        <f>IF(G2&lt;18.5, "Underweight", IF(G2&lt;25, "Normal", IF(G2&lt;30, "Overweight", "Obese")))</f>
        <v>Obese</v>
      </c>
    </row>
    <row r="3" spans="1:12" x14ac:dyDescent="0.2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>
        <v>0</v>
      </c>
      <c r="K3" t="str">
        <f t="shared" ref="K3:K66" si="0">IF(I3&lt;30, "Young", IF( I3&lt;45, "Middle-Aged", "Senior"))</f>
        <v>Middle-Aged</v>
      </c>
      <c r="L3" t="str">
        <f t="shared" ref="L3:L66" si="1">IF(G3&lt;18.5, "Underweight", IF(G3&lt;25, "Normal", IF(G3&lt;30, "Overweight", "Obese")))</f>
        <v>Overweight</v>
      </c>
    </row>
    <row r="4" spans="1:12" x14ac:dyDescent="0.2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>
        <v>1</v>
      </c>
      <c r="K4" t="str">
        <f t="shared" si="0"/>
        <v>Middle-Aged</v>
      </c>
      <c r="L4" t="str">
        <f t="shared" si="1"/>
        <v>Normal</v>
      </c>
    </row>
    <row r="5" spans="1:12" x14ac:dyDescent="0.2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>
        <v>0</v>
      </c>
      <c r="K5" t="str">
        <f t="shared" si="0"/>
        <v>Young</v>
      </c>
      <c r="L5" t="str">
        <f t="shared" si="1"/>
        <v>Overweight</v>
      </c>
    </row>
    <row r="6" spans="1:12" x14ac:dyDescent="0.2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>
        <v>1</v>
      </c>
      <c r="K6" t="str">
        <f t="shared" si="0"/>
        <v>Middle-Aged</v>
      </c>
      <c r="L6" t="str">
        <f t="shared" si="1"/>
        <v>Obese</v>
      </c>
    </row>
    <row r="7" spans="1:12" x14ac:dyDescent="0.2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>
        <v>0</v>
      </c>
      <c r="K7" t="str">
        <f t="shared" si="0"/>
        <v>Middle-Aged</v>
      </c>
      <c r="L7" t="str">
        <f t="shared" si="1"/>
        <v>Overweight</v>
      </c>
    </row>
    <row r="8" spans="1:12" x14ac:dyDescent="0.2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>
        <v>1</v>
      </c>
      <c r="K8" t="str">
        <f t="shared" si="0"/>
        <v>Young</v>
      </c>
      <c r="L8" t="str">
        <f t="shared" si="1"/>
        <v>Obese</v>
      </c>
    </row>
    <row r="9" spans="1:12" x14ac:dyDescent="0.2">
      <c r="A9">
        <v>8</v>
      </c>
      <c r="B9">
        <v>10</v>
      </c>
      <c r="C9">
        <v>115</v>
      </c>
      <c r="D9">
        <v>121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>
        <v>0</v>
      </c>
      <c r="K9" t="str">
        <f t="shared" si="0"/>
        <v>Young</v>
      </c>
      <c r="L9" t="str">
        <f t="shared" si="1"/>
        <v>Obese</v>
      </c>
    </row>
    <row r="10" spans="1:12" x14ac:dyDescent="0.2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>
        <v>1</v>
      </c>
      <c r="K10" t="str">
        <f t="shared" si="0"/>
        <v>Senior</v>
      </c>
      <c r="L10" t="str">
        <f t="shared" si="1"/>
        <v>Obese</v>
      </c>
    </row>
    <row r="11" spans="1:12" x14ac:dyDescent="0.2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121</v>
      </c>
      <c r="H11">
        <v>0.23200000000000001</v>
      </c>
      <c r="I11">
        <v>54</v>
      </c>
      <c r="J11">
        <v>1</v>
      </c>
      <c r="K11" t="str">
        <f t="shared" si="0"/>
        <v>Senior</v>
      </c>
      <c r="L11" t="str">
        <f t="shared" si="1"/>
        <v>Obese</v>
      </c>
    </row>
    <row r="12" spans="1:12" x14ac:dyDescent="0.2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>
        <v>0</v>
      </c>
      <c r="K12" t="str">
        <f t="shared" si="0"/>
        <v>Middle-Aged</v>
      </c>
      <c r="L12" t="str">
        <f t="shared" si="1"/>
        <v>Obese</v>
      </c>
    </row>
    <row r="13" spans="1:12" x14ac:dyDescent="0.2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>
        <v>1</v>
      </c>
      <c r="K13" t="str">
        <f t="shared" si="0"/>
        <v>Middle-Aged</v>
      </c>
      <c r="L13" t="str">
        <f t="shared" si="1"/>
        <v>Obese</v>
      </c>
    </row>
    <row r="14" spans="1:12" x14ac:dyDescent="0.2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>
        <v>0</v>
      </c>
      <c r="K14" t="str">
        <f t="shared" si="0"/>
        <v>Senior</v>
      </c>
      <c r="L14" t="str">
        <f t="shared" si="1"/>
        <v>Overweight</v>
      </c>
    </row>
    <row r="15" spans="1:12" x14ac:dyDescent="0.2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>
        <v>1</v>
      </c>
      <c r="K15" t="str">
        <f t="shared" si="0"/>
        <v>Senior</v>
      </c>
      <c r="L15" t="str">
        <f t="shared" si="1"/>
        <v>Obese</v>
      </c>
    </row>
    <row r="16" spans="1:12" x14ac:dyDescent="0.2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>
        <v>1</v>
      </c>
      <c r="K16" t="str">
        <f t="shared" si="0"/>
        <v>Senior</v>
      </c>
      <c r="L16" t="str">
        <f t="shared" si="1"/>
        <v>Overweight</v>
      </c>
    </row>
    <row r="17" spans="1:12" x14ac:dyDescent="0.2">
      <c r="A17">
        <v>16</v>
      </c>
      <c r="B17">
        <v>7</v>
      </c>
      <c r="C17">
        <v>100</v>
      </c>
      <c r="D17">
        <v>121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>
        <v>1</v>
      </c>
      <c r="K17" t="str">
        <f t="shared" si="0"/>
        <v>Middle-Aged</v>
      </c>
      <c r="L17" t="str">
        <f t="shared" si="1"/>
        <v>Obese</v>
      </c>
    </row>
    <row r="18" spans="1:12" x14ac:dyDescent="0.2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>
        <v>1</v>
      </c>
      <c r="K18" t="str">
        <f t="shared" si="0"/>
        <v>Middle-Aged</v>
      </c>
      <c r="L18" t="str">
        <f t="shared" si="1"/>
        <v>Obese</v>
      </c>
    </row>
    <row r="19" spans="1:12" x14ac:dyDescent="0.2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>
        <v>1</v>
      </c>
      <c r="K19" t="str">
        <f t="shared" si="0"/>
        <v>Middle-Aged</v>
      </c>
      <c r="L19" t="str">
        <f t="shared" si="1"/>
        <v>Overweight</v>
      </c>
    </row>
    <row r="20" spans="1:12" x14ac:dyDescent="0.2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>
        <v>0</v>
      </c>
      <c r="K20" t="str">
        <f t="shared" si="0"/>
        <v>Middle-Aged</v>
      </c>
      <c r="L20" t="str">
        <f t="shared" si="1"/>
        <v>Obese</v>
      </c>
    </row>
    <row r="21" spans="1:12" x14ac:dyDescent="0.2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>
        <v>1</v>
      </c>
      <c r="K21" t="str">
        <f t="shared" si="0"/>
        <v>Middle-Aged</v>
      </c>
      <c r="L21" t="str">
        <f t="shared" si="1"/>
        <v>Obese</v>
      </c>
    </row>
    <row r="22" spans="1:12" x14ac:dyDescent="0.2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>
        <v>0</v>
      </c>
      <c r="K22" t="str">
        <f t="shared" si="0"/>
        <v>Young</v>
      </c>
      <c r="L22" t="str">
        <f t="shared" si="1"/>
        <v>Obese</v>
      </c>
    </row>
    <row r="23" spans="1:12" x14ac:dyDescent="0.2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>
        <v>0</v>
      </c>
      <c r="K23" t="str">
        <f t="shared" si="0"/>
        <v>Senior</v>
      </c>
      <c r="L23" t="str">
        <f t="shared" si="1"/>
        <v>Obese</v>
      </c>
    </row>
    <row r="24" spans="1:12" x14ac:dyDescent="0.2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>
        <v>1</v>
      </c>
      <c r="K24" t="str">
        <f t="shared" si="0"/>
        <v>Middle-Aged</v>
      </c>
      <c r="L24" t="str">
        <f t="shared" si="1"/>
        <v>Obese</v>
      </c>
    </row>
    <row r="25" spans="1:12" x14ac:dyDescent="0.2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>
        <v>1</v>
      </c>
      <c r="K25" t="str">
        <f t="shared" si="0"/>
        <v>Young</v>
      </c>
      <c r="L25" t="str">
        <f t="shared" si="1"/>
        <v>Overweight</v>
      </c>
    </row>
    <row r="26" spans="1:12" x14ac:dyDescent="0.2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>
        <v>1</v>
      </c>
      <c r="K26" t="str">
        <f t="shared" si="0"/>
        <v>Senior</v>
      </c>
      <c r="L26" t="str">
        <f t="shared" si="1"/>
        <v>Obese</v>
      </c>
    </row>
    <row r="27" spans="1:12" x14ac:dyDescent="0.2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>
        <v>1</v>
      </c>
      <c r="K27" t="str">
        <f t="shared" si="0"/>
        <v>Middle-Aged</v>
      </c>
      <c r="L27" t="str">
        <f t="shared" si="1"/>
        <v>Obese</v>
      </c>
    </row>
    <row r="28" spans="1:12" x14ac:dyDescent="0.2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>
        <v>1</v>
      </c>
      <c r="K28" t="str">
        <f t="shared" si="0"/>
        <v>Middle-Aged</v>
      </c>
      <c r="L28" t="str">
        <f t="shared" si="1"/>
        <v>Obese</v>
      </c>
    </row>
    <row r="29" spans="1:12" x14ac:dyDescent="0.2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>
        <v>0</v>
      </c>
      <c r="K29" t="str">
        <f t="shared" si="0"/>
        <v>Young</v>
      </c>
      <c r="L29" t="str">
        <f t="shared" si="1"/>
        <v>Normal</v>
      </c>
    </row>
    <row r="30" spans="1:12" x14ac:dyDescent="0.2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>
        <v>0</v>
      </c>
      <c r="K30" t="str">
        <f t="shared" si="0"/>
        <v>Senior</v>
      </c>
      <c r="L30" t="str">
        <f t="shared" si="1"/>
        <v>Normal</v>
      </c>
    </row>
    <row r="31" spans="1:12" x14ac:dyDescent="0.2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>
        <v>0</v>
      </c>
      <c r="K31" t="str">
        <f t="shared" si="0"/>
        <v>Middle-Aged</v>
      </c>
      <c r="L31" t="str">
        <f t="shared" si="1"/>
        <v>Obese</v>
      </c>
    </row>
    <row r="32" spans="1:12" x14ac:dyDescent="0.2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>
        <v>0</v>
      </c>
      <c r="K32" t="str">
        <f t="shared" si="0"/>
        <v>Senior</v>
      </c>
      <c r="L32" t="str">
        <f t="shared" si="1"/>
        <v>Obese</v>
      </c>
    </row>
    <row r="33" spans="1:12" x14ac:dyDescent="0.2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>
        <v>1</v>
      </c>
      <c r="K33" t="str">
        <f t="shared" si="0"/>
        <v>Young</v>
      </c>
      <c r="L33" t="str">
        <f t="shared" si="1"/>
        <v>Obese</v>
      </c>
    </row>
    <row r="34" spans="1:12" x14ac:dyDescent="0.2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>
        <v>0</v>
      </c>
      <c r="K34" t="str">
        <f t="shared" si="0"/>
        <v>Young</v>
      </c>
      <c r="L34" t="str">
        <f t="shared" si="1"/>
        <v>Normal</v>
      </c>
    </row>
    <row r="35" spans="1:12" x14ac:dyDescent="0.2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>
        <v>0</v>
      </c>
      <c r="K35" t="str">
        <f t="shared" si="0"/>
        <v>Young</v>
      </c>
      <c r="L35" t="str">
        <f t="shared" si="1"/>
        <v>Normal</v>
      </c>
    </row>
    <row r="36" spans="1:12" x14ac:dyDescent="0.2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>
        <v>0</v>
      </c>
      <c r="K36" t="str">
        <f t="shared" si="0"/>
        <v>Senior</v>
      </c>
      <c r="L36" t="str">
        <f t="shared" si="1"/>
        <v>Overweight</v>
      </c>
    </row>
    <row r="37" spans="1:12" x14ac:dyDescent="0.2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>
        <v>0</v>
      </c>
      <c r="K37" t="str">
        <f t="shared" si="0"/>
        <v>Middle-Aged</v>
      </c>
      <c r="L37" t="str">
        <f t="shared" si="1"/>
        <v>Normal</v>
      </c>
    </row>
    <row r="38" spans="1:12" x14ac:dyDescent="0.2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>
        <v>0</v>
      </c>
      <c r="K38" t="str">
        <f t="shared" si="0"/>
        <v>Middle-Aged</v>
      </c>
      <c r="L38" t="str">
        <f t="shared" si="1"/>
        <v>Obese</v>
      </c>
    </row>
    <row r="39" spans="1:12" x14ac:dyDescent="0.2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>
        <v>1</v>
      </c>
      <c r="K39" t="str">
        <f t="shared" si="0"/>
        <v>Senior</v>
      </c>
      <c r="L39" t="str">
        <f t="shared" si="1"/>
        <v>Obese</v>
      </c>
    </row>
    <row r="40" spans="1:12" x14ac:dyDescent="0.2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>
        <v>1</v>
      </c>
      <c r="K40" t="str">
        <f t="shared" si="0"/>
        <v>Young</v>
      </c>
      <c r="L40" t="str">
        <f t="shared" si="1"/>
        <v>Obese</v>
      </c>
    </row>
    <row r="41" spans="1:12" x14ac:dyDescent="0.2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>
        <v>1</v>
      </c>
      <c r="K41" t="str">
        <f t="shared" si="0"/>
        <v>Senior</v>
      </c>
      <c r="L41" t="str">
        <f t="shared" si="1"/>
        <v>Obese</v>
      </c>
    </row>
    <row r="42" spans="1:12" x14ac:dyDescent="0.2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>
        <v>0</v>
      </c>
      <c r="K42" t="str">
        <f t="shared" si="0"/>
        <v>Young</v>
      </c>
      <c r="L42" t="str">
        <f t="shared" si="1"/>
        <v>Obese</v>
      </c>
    </row>
    <row r="43" spans="1:12" x14ac:dyDescent="0.2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>
        <v>0</v>
      </c>
      <c r="K43" t="str">
        <f t="shared" si="0"/>
        <v>Middle-Aged</v>
      </c>
      <c r="L43" t="str">
        <f t="shared" si="1"/>
        <v>Obese</v>
      </c>
    </row>
    <row r="44" spans="1:12" x14ac:dyDescent="0.2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>
        <v>0</v>
      </c>
      <c r="K44" t="str">
        <f t="shared" si="0"/>
        <v>Senior</v>
      </c>
      <c r="L44" t="str">
        <f t="shared" si="1"/>
        <v>Normal</v>
      </c>
    </row>
    <row r="45" spans="1:12" x14ac:dyDescent="0.2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>
        <v>1</v>
      </c>
      <c r="K45" t="str">
        <f t="shared" si="0"/>
        <v>Senior</v>
      </c>
      <c r="L45" t="str">
        <f t="shared" si="1"/>
        <v>Obese</v>
      </c>
    </row>
    <row r="46" spans="1:12" x14ac:dyDescent="0.2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>
        <v>0</v>
      </c>
      <c r="K46" t="str">
        <f t="shared" si="0"/>
        <v>Middle-Aged</v>
      </c>
      <c r="L46" t="str">
        <f t="shared" si="1"/>
        <v>Overweight</v>
      </c>
    </row>
    <row r="47" spans="1:12" x14ac:dyDescent="0.2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>
        <v>1</v>
      </c>
      <c r="K47" t="str">
        <f t="shared" si="0"/>
        <v>Young</v>
      </c>
      <c r="L47" t="str">
        <f t="shared" si="1"/>
        <v>Obese</v>
      </c>
    </row>
    <row r="48" spans="1:12" x14ac:dyDescent="0.2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>
        <v>0</v>
      </c>
      <c r="K48" t="str">
        <f t="shared" si="0"/>
        <v>Young</v>
      </c>
      <c r="L48" t="str">
        <f t="shared" si="1"/>
        <v>Overweight</v>
      </c>
    </row>
    <row r="49" spans="1:12" x14ac:dyDescent="0.2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>
        <v>0</v>
      </c>
      <c r="K49" t="str">
        <f t="shared" si="0"/>
        <v>Young</v>
      </c>
      <c r="L49" t="str">
        <f t="shared" si="1"/>
        <v>Overweight</v>
      </c>
    </row>
    <row r="50" spans="1:12" x14ac:dyDescent="0.2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>
        <v>1</v>
      </c>
      <c r="K50" t="str">
        <f t="shared" si="0"/>
        <v>Middle-Aged</v>
      </c>
      <c r="L50" t="str">
        <f t="shared" si="1"/>
        <v>Obese</v>
      </c>
    </row>
    <row r="51" spans="1:12" x14ac:dyDescent="0.2">
      <c r="A51">
        <v>50</v>
      </c>
      <c r="B51">
        <v>7</v>
      </c>
      <c r="C51">
        <v>105</v>
      </c>
      <c r="D51">
        <v>121</v>
      </c>
      <c r="E51">
        <v>0</v>
      </c>
      <c r="F51">
        <v>0</v>
      </c>
      <c r="G51">
        <v>121</v>
      </c>
      <c r="H51">
        <v>0.30499999999999999</v>
      </c>
      <c r="I51">
        <v>24</v>
      </c>
      <c r="J51">
        <v>0</v>
      </c>
      <c r="K51" t="str">
        <f t="shared" si="0"/>
        <v>Young</v>
      </c>
      <c r="L51" t="str">
        <f t="shared" si="1"/>
        <v>Obese</v>
      </c>
    </row>
    <row r="52" spans="1:12" x14ac:dyDescent="0.2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>
        <v>0</v>
      </c>
      <c r="K52" t="str">
        <f t="shared" si="0"/>
        <v>Young</v>
      </c>
      <c r="L52" t="str">
        <f t="shared" si="1"/>
        <v>Normal</v>
      </c>
    </row>
    <row r="53" spans="1:12" x14ac:dyDescent="0.2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>
        <v>0</v>
      </c>
      <c r="K53" t="str">
        <f t="shared" si="0"/>
        <v>Young</v>
      </c>
      <c r="L53" t="str">
        <f t="shared" si="1"/>
        <v>Normal</v>
      </c>
    </row>
    <row r="54" spans="1:12" x14ac:dyDescent="0.2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>
        <v>0</v>
      </c>
      <c r="K54" t="str">
        <f t="shared" si="0"/>
        <v>Middle-Aged</v>
      </c>
      <c r="L54" t="str">
        <f t="shared" si="1"/>
        <v>Normal</v>
      </c>
    </row>
    <row r="55" spans="1:12" x14ac:dyDescent="0.2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>
        <v>1</v>
      </c>
      <c r="K55" t="str">
        <f t="shared" si="0"/>
        <v>Senior</v>
      </c>
      <c r="L55" t="str">
        <f t="shared" si="1"/>
        <v>Obese</v>
      </c>
    </row>
    <row r="56" spans="1:12" x14ac:dyDescent="0.2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>
        <v>0</v>
      </c>
      <c r="K56" t="str">
        <f t="shared" si="0"/>
        <v>Middle-Aged</v>
      </c>
      <c r="L56" t="str">
        <f t="shared" si="1"/>
        <v>Obese</v>
      </c>
    </row>
    <row r="57" spans="1:12" x14ac:dyDescent="0.2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>
        <v>0</v>
      </c>
      <c r="K57" t="str">
        <f t="shared" si="0"/>
        <v>Young</v>
      </c>
      <c r="L57" t="str">
        <f t="shared" si="1"/>
        <v>Normal</v>
      </c>
    </row>
    <row r="58" spans="1:12" x14ac:dyDescent="0.2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>
        <v>1</v>
      </c>
      <c r="K58" t="str">
        <f t="shared" si="0"/>
        <v>Middle-Aged</v>
      </c>
      <c r="L58" t="str">
        <f t="shared" si="1"/>
        <v>Obese</v>
      </c>
    </row>
    <row r="59" spans="1:12" x14ac:dyDescent="0.2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>
        <v>0</v>
      </c>
      <c r="K59" t="str">
        <f t="shared" si="0"/>
        <v>Middle-Aged</v>
      </c>
      <c r="L59" t="str">
        <f t="shared" si="1"/>
        <v>Obese</v>
      </c>
    </row>
    <row r="60" spans="1:12" x14ac:dyDescent="0.2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>
        <v>0</v>
      </c>
      <c r="K60" t="str">
        <f t="shared" si="0"/>
        <v>Middle-Aged</v>
      </c>
      <c r="L60" t="str">
        <f t="shared" si="1"/>
        <v>Obese</v>
      </c>
    </row>
    <row r="61" spans="1:12" x14ac:dyDescent="0.2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>
        <v>0</v>
      </c>
      <c r="K61" t="str">
        <f t="shared" si="0"/>
        <v>Young</v>
      </c>
      <c r="L61" t="str">
        <f t="shared" si="1"/>
        <v>Obese</v>
      </c>
    </row>
    <row r="62" spans="1:12" x14ac:dyDescent="0.2">
      <c r="A62">
        <v>61</v>
      </c>
      <c r="B62">
        <v>2</v>
      </c>
      <c r="C62">
        <v>84</v>
      </c>
      <c r="D62">
        <v>121</v>
      </c>
      <c r="E62">
        <v>0</v>
      </c>
      <c r="F62">
        <v>0</v>
      </c>
      <c r="G62">
        <v>121</v>
      </c>
      <c r="H62">
        <v>0.30399999999999999</v>
      </c>
      <c r="I62">
        <v>21</v>
      </c>
      <c r="J62">
        <v>0</v>
      </c>
      <c r="K62" t="str">
        <f t="shared" si="0"/>
        <v>Young</v>
      </c>
      <c r="L62" t="str">
        <f t="shared" si="1"/>
        <v>Obese</v>
      </c>
    </row>
    <row r="63" spans="1:12" x14ac:dyDescent="0.2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>
        <v>1</v>
      </c>
      <c r="K63" t="str">
        <f t="shared" si="0"/>
        <v>Middle-Aged</v>
      </c>
      <c r="L63" t="str">
        <f t="shared" si="1"/>
        <v>Obese</v>
      </c>
    </row>
    <row r="64" spans="1:12" x14ac:dyDescent="0.2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>
        <v>0</v>
      </c>
      <c r="K64" t="str">
        <f t="shared" si="0"/>
        <v>Middle-Aged</v>
      </c>
      <c r="L64" t="str">
        <f t="shared" si="1"/>
        <v>Overweight</v>
      </c>
    </row>
    <row r="65" spans="1:12" x14ac:dyDescent="0.2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>
        <v>0</v>
      </c>
      <c r="K65" t="str">
        <f t="shared" si="0"/>
        <v>Young</v>
      </c>
      <c r="L65" t="str">
        <f t="shared" si="1"/>
        <v>Overweight</v>
      </c>
    </row>
    <row r="66" spans="1:12" x14ac:dyDescent="0.2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>
        <v>1</v>
      </c>
      <c r="K66" t="str">
        <f t="shared" si="0"/>
        <v>Middle-Aged</v>
      </c>
      <c r="L66" t="str">
        <f t="shared" si="1"/>
        <v>Obese</v>
      </c>
    </row>
    <row r="67" spans="1:12" x14ac:dyDescent="0.2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>
        <v>0</v>
      </c>
      <c r="K67" t="str">
        <f t="shared" ref="K67:K130" si="2">IF(I67&lt;30, "Young", IF( I67&lt;45, "Middle-Aged", "Senior"))</f>
        <v>Middle-Aged</v>
      </c>
      <c r="L67" t="str">
        <f t="shared" ref="L67:L130" si="3">IF(G67&lt;18.5, "Underweight", IF(G67&lt;25, "Normal", IF(G67&lt;30, "Overweight", "Obese")))</f>
        <v>Overweight</v>
      </c>
    </row>
    <row r="68" spans="1:12" x14ac:dyDescent="0.2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>
        <v>1</v>
      </c>
      <c r="K68" t="str">
        <f t="shared" si="2"/>
        <v>Middle-Aged</v>
      </c>
      <c r="L68" t="str">
        <f t="shared" si="3"/>
        <v>Obese</v>
      </c>
    </row>
    <row r="69" spans="1:12" x14ac:dyDescent="0.2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>
        <v>0</v>
      </c>
      <c r="K69" t="str">
        <f t="shared" si="2"/>
        <v>Senior</v>
      </c>
      <c r="L69" t="str">
        <f t="shared" si="3"/>
        <v>Obese</v>
      </c>
    </row>
    <row r="70" spans="1:12" x14ac:dyDescent="0.2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>
        <v>0</v>
      </c>
      <c r="K70" t="str">
        <f t="shared" si="2"/>
        <v>Young</v>
      </c>
      <c r="L70" t="str">
        <f t="shared" si="3"/>
        <v>Normal</v>
      </c>
    </row>
    <row r="71" spans="1:12" x14ac:dyDescent="0.2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>
        <v>0</v>
      </c>
      <c r="K71" t="str">
        <f t="shared" si="2"/>
        <v>Young</v>
      </c>
      <c r="L71" t="str">
        <f t="shared" si="3"/>
        <v>Overweight</v>
      </c>
    </row>
    <row r="72" spans="1:12" x14ac:dyDescent="0.2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>
        <v>1</v>
      </c>
      <c r="K72" t="str">
        <f t="shared" si="2"/>
        <v>Young</v>
      </c>
      <c r="L72" t="str">
        <f t="shared" si="3"/>
        <v>Obese</v>
      </c>
    </row>
    <row r="73" spans="1:12" x14ac:dyDescent="0.2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>
        <v>0</v>
      </c>
      <c r="K73" t="str">
        <f t="shared" si="2"/>
        <v>Young</v>
      </c>
      <c r="L73" t="str">
        <f t="shared" si="3"/>
        <v>Overweight</v>
      </c>
    </row>
    <row r="74" spans="1:12" x14ac:dyDescent="0.2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>
        <v>1</v>
      </c>
      <c r="K74" t="str">
        <f t="shared" si="2"/>
        <v>Middle-Aged</v>
      </c>
      <c r="L74" t="str">
        <f t="shared" si="3"/>
        <v>Obese</v>
      </c>
    </row>
    <row r="75" spans="1:12" x14ac:dyDescent="0.2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>
        <v>0</v>
      </c>
      <c r="K75" t="str">
        <f t="shared" si="2"/>
        <v>Young</v>
      </c>
      <c r="L75" t="str">
        <f t="shared" si="3"/>
        <v>Obese</v>
      </c>
    </row>
    <row r="76" spans="1:12" x14ac:dyDescent="0.2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>
        <v>0</v>
      </c>
      <c r="K76" t="str">
        <f t="shared" si="2"/>
        <v>Young</v>
      </c>
      <c r="L76" t="str">
        <f t="shared" si="3"/>
        <v>Obese</v>
      </c>
    </row>
    <row r="77" spans="1:12" x14ac:dyDescent="0.2">
      <c r="A77">
        <v>76</v>
      </c>
      <c r="B77">
        <v>1</v>
      </c>
      <c r="C77">
        <v>121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>
        <v>0</v>
      </c>
      <c r="K77" t="str">
        <f t="shared" si="2"/>
        <v>Young</v>
      </c>
      <c r="L77" t="str">
        <f t="shared" si="3"/>
        <v>Normal</v>
      </c>
    </row>
    <row r="78" spans="1:12" x14ac:dyDescent="0.2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>
        <v>0</v>
      </c>
      <c r="K78" t="str">
        <f t="shared" si="2"/>
        <v>Middle-Aged</v>
      </c>
      <c r="L78" t="str">
        <f t="shared" si="3"/>
        <v>Obese</v>
      </c>
    </row>
    <row r="79" spans="1:12" x14ac:dyDescent="0.2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>
        <v>0</v>
      </c>
      <c r="K79" t="str">
        <f t="shared" si="2"/>
        <v>Young</v>
      </c>
      <c r="L79" t="str">
        <f t="shared" si="3"/>
        <v>Obese</v>
      </c>
    </row>
    <row r="80" spans="1:12" x14ac:dyDescent="0.2">
      <c r="A80">
        <v>79</v>
      </c>
      <c r="B80">
        <v>0</v>
      </c>
      <c r="C80">
        <v>131</v>
      </c>
      <c r="D80">
        <v>121</v>
      </c>
      <c r="E80">
        <v>0</v>
      </c>
      <c r="F80">
        <v>0</v>
      </c>
      <c r="G80">
        <v>43.2</v>
      </c>
      <c r="H80">
        <v>0.27</v>
      </c>
      <c r="I80">
        <v>26</v>
      </c>
      <c r="J80">
        <v>1</v>
      </c>
      <c r="K80" t="str">
        <f t="shared" si="2"/>
        <v>Young</v>
      </c>
      <c r="L80" t="str">
        <f t="shared" si="3"/>
        <v>Obese</v>
      </c>
    </row>
    <row r="81" spans="1:12" x14ac:dyDescent="0.2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>
        <v>0</v>
      </c>
      <c r="K81" t="str">
        <f t="shared" si="2"/>
        <v>Young</v>
      </c>
      <c r="L81" t="str">
        <f t="shared" si="3"/>
        <v>Overweight</v>
      </c>
    </row>
    <row r="82" spans="1:12" x14ac:dyDescent="0.2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>
        <v>0</v>
      </c>
      <c r="K82" t="str">
        <f t="shared" si="2"/>
        <v>Young</v>
      </c>
      <c r="L82" t="str">
        <f t="shared" si="3"/>
        <v>Normal</v>
      </c>
    </row>
    <row r="83" spans="1:12" x14ac:dyDescent="0.2">
      <c r="A83">
        <v>82</v>
      </c>
      <c r="B83">
        <v>2</v>
      </c>
      <c r="C83">
        <v>74</v>
      </c>
      <c r="D83">
        <v>121</v>
      </c>
      <c r="E83">
        <v>0</v>
      </c>
      <c r="F83">
        <v>0</v>
      </c>
      <c r="G83">
        <v>121</v>
      </c>
      <c r="H83">
        <v>0.10199999999999999</v>
      </c>
      <c r="I83">
        <v>22</v>
      </c>
      <c r="J83">
        <v>0</v>
      </c>
      <c r="K83" t="str">
        <f t="shared" si="2"/>
        <v>Young</v>
      </c>
      <c r="L83" t="str">
        <f t="shared" si="3"/>
        <v>Obese</v>
      </c>
    </row>
    <row r="84" spans="1:12" x14ac:dyDescent="0.2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>
        <v>0</v>
      </c>
      <c r="K84" t="str">
        <f t="shared" si="2"/>
        <v>Middle-Aged</v>
      </c>
      <c r="L84" t="str">
        <f t="shared" si="3"/>
        <v>Overweight</v>
      </c>
    </row>
    <row r="85" spans="1:12" x14ac:dyDescent="0.2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>
        <v>0</v>
      </c>
      <c r="K85" t="str">
        <f t="shared" si="2"/>
        <v>Young</v>
      </c>
      <c r="L85" t="str">
        <f t="shared" si="3"/>
        <v>Normal</v>
      </c>
    </row>
    <row r="86" spans="1:12" x14ac:dyDescent="0.2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>
        <v>1</v>
      </c>
      <c r="K86" t="str">
        <f t="shared" si="2"/>
        <v>Middle-Aged</v>
      </c>
      <c r="L86" t="str">
        <f t="shared" si="3"/>
        <v>Obese</v>
      </c>
    </row>
    <row r="87" spans="1:12" x14ac:dyDescent="0.2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>
        <v>0</v>
      </c>
      <c r="K87" t="str">
        <f t="shared" si="2"/>
        <v>Young</v>
      </c>
      <c r="L87" t="str">
        <f t="shared" si="3"/>
        <v>Obese</v>
      </c>
    </row>
    <row r="88" spans="1:12" x14ac:dyDescent="0.2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>
        <v>0</v>
      </c>
      <c r="K88" t="str">
        <f t="shared" si="2"/>
        <v>Senior</v>
      </c>
      <c r="L88" t="str">
        <f t="shared" si="3"/>
        <v>Obese</v>
      </c>
    </row>
    <row r="89" spans="1:12" x14ac:dyDescent="0.2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>
        <v>0</v>
      </c>
      <c r="K89" t="str">
        <f t="shared" si="2"/>
        <v>Young</v>
      </c>
      <c r="L89" t="str">
        <f t="shared" si="3"/>
        <v>Obese</v>
      </c>
    </row>
    <row r="90" spans="1:12" x14ac:dyDescent="0.2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>
        <v>1</v>
      </c>
      <c r="K90" t="str">
        <f t="shared" si="2"/>
        <v>Middle-Aged</v>
      </c>
      <c r="L90" t="str">
        <f t="shared" si="3"/>
        <v>Obese</v>
      </c>
    </row>
    <row r="91" spans="1:12" x14ac:dyDescent="0.2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>
        <v>0</v>
      </c>
      <c r="K91" t="str">
        <f t="shared" si="2"/>
        <v>Young</v>
      </c>
      <c r="L91" t="str">
        <f t="shared" si="3"/>
        <v>Overweight</v>
      </c>
    </row>
    <row r="92" spans="1:12" x14ac:dyDescent="0.2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>
        <v>0</v>
      </c>
      <c r="K92" t="str">
        <f t="shared" si="2"/>
        <v>Young</v>
      </c>
      <c r="L92" t="str">
        <f t="shared" si="3"/>
        <v>Normal</v>
      </c>
    </row>
    <row r="93" spans="1:12" x14ac:dyDescent="0.2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>
        <v>0</v>
      </c>
      <c r="K93" t="str">
        <f t="shared" si="2"/>
        <v>Middle-Aged</v>
      </c>
      <c r="L93" t="str">
        <f t="shared" si="3"/>
        <v>Obese</v>
      </c>
    </row>
    <row r="94" spans="1:12" x14ac:dyDescent="0.2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>
        <v>0</v>
      </c>
      <c r="K94" t="str">
        <f t="shared" si="2"/>
        <v>Middle-Aged</v>
      </c>
      <c r="L94" t="str">
        <f t="shared" si="3"/>
        <v>Obese</v>
      </c>
    </row>
    <row r="95" spans="1:12" x14ac:dyDescent="0.2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>
        <v>1</v>
      </c>
      <c r="K95" t="str">
        <f t="shared" si="2"/>
        <v>Senior</v>
      </c>
      <c r="L95" t="str">
        <f t="shared" si="3"/>
        <v>Normal</v>
      </c>
    </row>
    <row r="96" spans="1:12" x14ac:dyDescent="0.2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>
        <v>0</v>
      </c>
      <c r="K96" t="str">
        <f t="shared" si="2"/>
        <v>Young</v>
      </c>
      <c r="L96" t="str">
        <f t="shared" si="3"/>
        <v>Normal</v>
      </c>
    </row>
    <row r="97" spans="1:12" x14ac:dyDescent="0.2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>
        <v>0</v>
      </c>
      <c r="K97" t="str">
        <f t="shared" si="2"/>
        <v>Middle-Aged</v>
      </c>
      <c r="L97" t="str">
        <f t="shared" si="3"/>
        <v>Obese</v>
      </c>
    </row>
    <row r="98" spans="1:12" x14ac:dyDescent="0.2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>
        <v>0</v>
      </c>
      <c r="K98" t="str">
        <f t="shared" si="2"/>
        <v>Young</v>
      </c>
      <c r="L98" t="str">
        <f t="shared" si="3"/>
        <v>Obese</v>
      </c>
    </row>
    <row r="99" spans="1:12" x14ac:dyDescent="0.2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>
        <v>0</v>
      </c>
      <c r="K99" t="str">
        <f t="shared" si="2"/>
        <v>Young</v>
      </c>
      <c r="L99" t="str">
        <f t="shared" si="3"/>
        <v>Normal</v>
      </c>
    </row>
    <row r="100" spans="1:12" x14ac:dyDescent="0.2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>
        <v>0</v>
      </c>
      <c r="K100" t="str">
        <f t="shared" si="2"/>
        <v>Young</v>
      </c>
      <c r="L100" t="str">
        <f t="shared" si="3"/>
        <v>Overweight</v>
      </c>
    </row>
    <row r="101" spans="1:12" x14ac:dyDescent="0.2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>
        <v>1</v>
      </c>
      <c r="K101" t="str">
        <f t="shared" si="2"/>
        <v>Middle-Aged</v>
      </c>
      <c r="L101" t="str">
        <f t="shared" si="3"/>
        <v>Obese</v>
      </c>
    </row>
    <row r="102" spans="1:12" x14ac:dyDescent="0.2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>
        <v>1</v>
      </c>
      <c r="K102" t="str">
        <f t="shared" si="2"/>
        <v>Middle-Aged</v>
      </c>
      <c r="L102" t="str">
        <f t="shared" si="3"/>
        <v>Obese</v>
      </c>
    </row>
    <row r="103" spans="1:12" x14ac:dyDescent="0.2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>
        <v>0</v>
      </c>
      <c r="K103" t="str">
        <f t="shared" si="2"/>
        <v>Young</v>
      </c>
      <c r="L103" t="str">
        <f t="shared" si="3"/>
        <v>Overweight</v>
      </c>
    </row>
    <row r="104" spans="1:12" x14ac:dyDescent="0.2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>
        <v>0</v>
      </c>
      <c r="K104" t="str">
        <f t="shared" si="2"/>
        <v>Young</v>
      </c>
      <c r="L104" t="str">
        <f t="shared" si="3"/>
        <v>Normal</v>
      </c>
    </row>
    <row r="105" spans="1:12" x14ac:dyDescent="0.2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>
        <v>0</v>
      </c>
      <c r="K105" t="str">
        <f t="shared" si="2"/>
        <v>Young</v>
      </c>
      <c r="L105" t="str">
        <f t="shared" si="3"/>
        <v>Overweight</v>
      </c>
    </row>
    <row r="106" spans="1:12" x14ac:dyDescent="0.2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>
        <v>0</v>
      </c>
      <c r="K106" t="str">
        <f t="shared" si="2"/>
        <v>Young</v>
      </c>
      <c r="L106" t="str">
        <f t="shared" si="3"/>
        <v>Obese</v>
      </c>
    </row>
    <row r="107" spans="1:12" x14ac:dyDescent="0.2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>
        <v>0</v>
      </c>
      <c r="K107" t="str">
        <f t="shared" si="2"/>
        <v>Young</v>
      </c>
      <c r="L107" t="str">
        <f t="shared" si="3"/>
        <v>Overweight</v>
      </c>
    </row>
    <row r="108" spans="1:12" x14ac:dyDescent="0.2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>
        <v>0</v>
      </c>
      <c r="K108" t="str">
        <f t="shared" si="2"/>
        <v>Young</v>
      </c>
      <c r="L108" t="str">
        <f t="shared" si="3"/>
        <v>Normal</v>
      </c>
    </row>
    <row r="109" spans="1:12" x14ac:dyDescent="0.2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>
        <v>0</v>
      </c>
      <c r="K109" t="str">
        <f t="shared" si="2"/>
        <v>Middle-Aged</v>
      </c>
      <c r="L109" t="str">
        <f t="shared" si="3"/>
        <v>Overweight</v>
      </c>
    </row>
    <row r="110" spans="1:12" x14ac:dyDescent="0.2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>
        <v>0</v>
      </c>
      <c r="K110" t="str">
        <f t="shared" si="2"/>
        <v>Young</v>
      </c>
      <c r="L110" t="str">
        <f t="shared" si="3"/>
        <v>Obese</v>
      </c>
    </row>
    <row r="111" spans="1:12" x14ac:dyDescent="0.2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>
        <v>1</v>
      </c>
      <c r="K111" t="str">
        <f t="shared" si="2"/>
        <v>Young</v>
      </c>
      <c r="L111" t="str">
        <f t="shared" si="3"/>
        <v>Obese</v>
      </c>
    </row>
    <row r="112" spans="1:12" x14ac:dyDescent="0.2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>
        <v>1</v>
      </c>
      <c r="K112" t="str">
        <f t="shared" si="2"/>
        <v>Young</v>
      </c>
      <c r="L112" t="str">
        <f t="shared" si="3"/>
        <v>Obese</v>
      </c>
    </row>
    <row r="113" spans="1:12" x14ac:dyDescent="0.2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>
        <v>1</v>
      </c>
      <c r="K113" t="str">
        <f t="shared" si="2"/>
        <v>Senior</v>
      </c>
      <c r="L113" t="str">
        <f t="shared" si="3"/>
        <v>Obese</v>
      </c>
    </row>
    <row r="114" spans="1:12" x14ac:dyDescent="0.2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>
        <v>0</v>
      </c>
      <c r="K114" t="str">
        <f t="shared" si="2"/>
        <v>Young</v>
      </c>
      <c r="L114" t="str">
        <f t="shared" si="3"/>
        <v>Obese</v>
      </c>
    </row>
    <row r="115" spans="1:12" x14ac:dyDescent="0.2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>
        <v>0</v>
      </c>
      <c r="K115" t="str">
        <f t="shared" si="2"/>
        <v>Young</v>
      </c>
      <c r="L115" t="str">
        <f t="shared" si="3"/>
        <v>Obese</v>
      </c>
    </row>
    <row r="116" spans="1:12" x14ac:dyDescent="0.2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>
        <v>1</v>
      </c>
      <c r="K116" t="str">
        <f t="shared" si="2"/>
        <v>Middle-Aged</v>
      </c>
      <c r="L116" t="str">
        <f t="shared" si="3"/>
        <v>Obese</v>
      </c>
    </row>
    <row r="117" spans="1:12" x14ac:dyDescent="0.2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>
        <v>1</v>
      </c>
      <c r="K117" t="str">
        <f t="shared" si="2"/>
        <v>Senior</v>
      </c>
      <c r="L117" t="str">
        <f t="shared" si="3"/>
        <v>Obese</v>
      </c>
    </row>
    <row r="118" spans="1:12" x14ac:dyDescent="0.2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>
        <v>1</v>
      </c>
      <c r="K118" t="str">
        <f t="shared" si="2"/>
        <v>Middle-Aged</v>
      </c>
      <c r="L118" t="str">
        <f t="shared" si="3"/>
        <v>Obese</v>
      </c>
    </row>
    <row r="119" spans="1:12" x14ac:dyDescent="0.2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>
        <v>0</v>
      </c>
      <c r="K119" t="str">
        <f t="shared" si="2"/>
        <v>Young</v>
      </c>
      <c r="L119" t="str">
        <f t="shared" si="3"/>
        <v>Obese</v>
      </c>
    </row>
    <row r="120" spans="1:12" x14ac:dyDescent="0.2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>
        <v>0</v>
      </c>
      <c r="K120" t="str">
        <f t="shared" si="2"/>
        <v>Young</v>
      </c>
      <c r="L120" t="str">
        <f t="shared" si="3"/>
        <v>Overweight</v>
      </c>
    </row>
    <row r="121" spans="1:12" x14ac:dyDescent="0.2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>
        <v>0</v>
      </c>
      <c r="K121" t="str">
        <f t="shared" si="2"/>
        <v>Young</v>
      </c>
      <c r="L121" t="str">
        <f t="shared" si="3"/>
        <v>Normal</v>
      </c>
    </row>
    <row r="122" spans="1:12" x14ac:dyDescent="0.2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>
        <v>1</v>
      </c>
      <c r="K122" t="str">
        <f t="shared" si="2"/>
        <v>Young</v>
      </c>
      <c r="L122" t="str">
        <f t="shared" si="3"/>
        <v>Obese</v>
      </c>
    </row>
    <row r="123" spans="1:12" x14ac:dyDescent="0.2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>
        <v>0</v>
      </c>
      <c r="K123" t="str">
        <f t="shared" si="2"/>
        <v>Young</v>
      </c>
      <c r="L123" t="str">
        <f t="shared" si="3"/>
        <v>Obese</v>
      </c>
    </row>
    <row r="124" spans="1:12" x14ac:dyDescent="0.2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>
        <v>0</v>
      </c>
      <c r="K124" t="str">
        <f t="shared" si="2"/>
        <v>Young</v>
      </c>
      <c r="L124" t="str">
        <f t="shared" si="3"/>
        <v>Obese</v>
      </c>
    </row>
    <row r="125" spans="1:12" x14ac:dyDescent="0.2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>
        <v>0</v>
      </c>
      <c r="K125" t="str">
        <f t="shared" si="2"/>
        <v>Senior</v>
      </c>
      <c r="L125" t="str">
        <f t="shared" si="3"/>
        <v>Overweight</v>
      </c>
    </row>
    <row r="126" spans="1:12" x14ac:dyDescent="0.2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>
        <v>1</v>
      </c>
      <c r="K126" t="str">
        <f t="shared" si="2"/>
        <v>Young</v>
      </c>
      <c r="L126" t="str">
        <f t="shared" si="3"/>
        <v>Obese</v>
      </c>
    </row>
    <row r="127" spans="1:12" x14ac:dyDescent="0.2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>
        <v>1</v>
      </c>
      <c r="K127" t="str">
        <f t="shared" si="2"/>
        <v>Young</v>
      </c>
      <c r="L127" t="str">
        <f t="shared" si="3"/>
        <v>Obese</v>
      </c>
    </row>
    <row r="128" spans="1:12" x14ac:dyDescent="0.2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>
        <v>0</v>
      </c>
      <c r="K128" t="str">
        <f t="shared" si="2"/>
        <v>Middle-Aged</v>
      </c>
      <c r="L128" t="str">
        <f t="shared" si="3"/>
        <v>Obese</v>
      </c>
    </row>
    <row r="129" spans="1:12" x14ac:dyDescent="0.2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>
        <v>0</v>
      </c>
      <c r="K129" t="str">
        <f t="shared" si="2"/>
        <v>Young</v>
      </c>
      <c r="L129" t="str">
        <f t="shared" si="3"/>
        <v>Obese</v>
      </c>
    </row>
    <row r="130" spans="1:12" x14ac:dyDescent="0.2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>
        <v>1</v>
      </c>
      <c r="K130" t="str">
        <f t="shared" si="2"/>
        <v>Middle-Aged</v>
      </c>
      <c r="L130" t="str">
        <f t="shared" si="3"/>
        <v>Obese</v>
      </c>
    </row>
    <row r="131" spans="1:12" x14ac:dyDescent="0.2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>
        <v>1</v>
      </c>
      <c r="K131" t="str">
        <f t="shared" ref="K131:K194" si="4">IF(I131&lt;30, "Young", IF( I131&lt;45, "Middle-Aged", "Senior"))</f>
        <v>Senior</v>
      </c>
      <c r="L131" t="str">
        <f t="shared" ref="L131:L194" si="5">IF(G131&lt;18.5, "Underweight", IF(G131&lt;25, "Normal", IF(G131&lt;30, "Overweight", "Obese")))</f>
        <v>Overweight</v>
      </c>
    </row>
    <row r="132" spans="1:12" x14ac:dyDescent="0.2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>
        <v>1</v>
      </c>
      <c r="K132" t="str">
        <f t="shared" si="4"/>
        <v>Middle-Aged</v>
      </c>
      <c r="L132" t="str">
        <f t="shared" si="5"/>
        <v>Overweight</v>
      </c>
    </row>
    <row r="133" spans="1:12" x14ac:dyDescent="0.2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>
        <v>1</v>
      </c>
      <c r="K133" t="str">
        <f t="shared" si="4"/>
        <v>Middle-Aged</v>
      </c>
      <c r="L133" t="str">
        <f t="shared" si="5"/>
        <v>Obese</v>
      </c>
    </row>
    <row r="134" spans="1:12" x14ac:dyDescent="0.2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>
        <v>1</v>
      </c>
      <c r="K134" t="str">
        <f t="shared" si="4"/>
        <v>Middle-Aged</v>
      </c>
      <c r="L134" t="str">
        <f t="shared" si="5"/>
        <v>Obese</v>
      </c>
    </row>
    <row r="135" spans="1:12" x14ac:dyDescent="0.2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>
        <v>0</v>
      </c>
      <c r="K135" t="str">
        <f t="shared" si="4"/>
        <v>Middle-Aged</v>
      </c>
      <c r="L135" t="str">
        <f t="shared" si="5"/>
        <v>Obese</v>
      </c>
    </row>
    <row r="136" spans="1:12" x14ac:dyDescent="0.2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>
        <v>0</v>
      </c>
      <c r="K136" t="str">
        <f t="shared" si="4"/>
        <v>Young</v>
      </c>
      <c r="L136" t="str">
        <f t="shared" si="5"/>
        <v>Normal</v>
      </c>
    </row>
    <row r="137" spans="1:12" x14ac:dyDescent="0.2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>
        <v>0</v>
      </c>
      <c r="K137" t="str">
        <f t="shared" si="4"/>
        <v>Middle-Aged</v>
      </c>
      <c r="L137" t="str">
        <f t="shared" si="5"/>
        <v>Obese</v>
      </c>
    </row>
    <row r="138" spans="1:12" x14ac:dyDescent="0.2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>
        <v>0</v>
      </c>
      <c r="K138" t="str">
        <f t="shared" si="4"/>
        <v>Young</v>
      </c>
      <c r="L138" t="str">
        <f t="shared" si="5"/>
        <v>Obese</v>
      </c>
    </row>
    <row r="139" spans="1:12" x14ac:dyDescent="0.2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>
        <v>0</v>
      </c>
      <c r="K139" t="str">
        <f t="shared" si="4"/>
        <v>Young</v>
      </c>
      <c r="L139" t="str">
        <f t="shared" si="5"/>
        <v>Overweight</v>
      </c>
    </row>
    <row r="140" spans="1:12" x14ac:dyDescent="0.2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>
        <v>0</v>
      </c>
      <c r="K140" t="str">
        <f t="shared" si="4"/>
        <v>Young</v>
      </c>
      <c r="L140" t="str">
        <f t="shared" si="5"/>
        <v>Obese</v>
      </c>
    </row>
    <row r="141" spans="1:12" x14ac:dyDescent="0.2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>
        <v>0</v>
      </c>
      <c r="K141" t="str">
        <f t="shared" si="4"/>
        <v>Young</v>
      </c>
      <c r="L141" t="str">
        <f t="shared" si="5"/>
        <v>Obese</v>
      </c>
    </row>
    <row r="142" spans="1:12" x14ac:dyDescent="0.2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>
        <v>0</v>
      </c>
      <c r="K142" t="str">
        <f t="shared" si="4"/>
        <v>Senior</v>
      </c>
      <c r="L142" t="str">
        <f t="shared" si="5"/>
        <v>Normal</v>
      </c>
    </row>
    <row r="143" spans="1:12" x14ac:dyDescent="0.2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>
        <v>0</v>
      </c>
      <c r="K143" t="str">
        <f t="shared" si="4"/>
        <v>Middle-Aged</v>
      </c>
      <c r="L143" t="str">
        <f t="shared" si="5"/>
        <v>Obese</v>
      </c>
    </row>
    <row r="144" spans="1:12" x14ac:dyDescent="0.2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>
        <v>0</v>
      </c>
      <c r="K144" t="str">
        <f t="shared" si="4"/>
        <v>Young</v>
      </c>
      <c r="L144" t="str">
        <f t="shared" si="5"/>
        <v>Obese</v>
      </c>
    </row>
    <row r="145" spans="1:12" x14ac:dyDescent="0.2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>
        <v>1</v>
      </c>
      <c r="K145" t="str">
        <f t="shared" si="4"/>
        <v>Middle-Aged</v>
      </c>
      <c r="L145" t="str">
        <f t="shared" si="5"/>
        <v>Obese</v>
      </c>
    </row>
    <row r="146" spans="1:12" x14ac:dyDescent="0.2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>
        <v>0</v>
      </c>
      <c r="K146" t="str">
        <f t="shared" si="4"/>
        <v>Young</v>
      </c>
      <c r="L146" t="str">
        <f t="shared" si="5"/>
        <v>Obese</v>
      </c>
    </row>
    <row r="147" spans="1:12" x14ac:dyDescent="0.2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121</v>
      </c>
      <c r="H147">
        <v>0.57199999999999995</v>
      </c>
      <c r="I147">
        <v>21</v>
      </c>
      <c r="J147">
        <v>0</v>
      </c>
      <c r="K147" t="str">
        <f t="shared" si="4"/>
        <v>Young</v>
      </c>
      <c r="L147" t="str">
        <f t="shared" si="5"/>
        <v>Obese</v>
      </c>
    </row>
    <row r="148" spans="1:12" x14ac:dyDescent="0.2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>
        <v>0</v>
      </c>
      <c r="K148" t="str">
        <f t="shared" si="4"/>
        <v>Middle-Aged</v>
      </c>
      <c r="L148" t="str">
        <f t="shared" si="5"/>
        <v>Obese</v>
      </c>
    </row>
    <row r="149" spans="1:12" x14ac:dyDescent="0.2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>
        <v>0</v>
      </c>
      <c r="K149" t="str">
        <f t="shared" si="4"/>
        <v>Middle-Aged</v>
      </c>
      <c r="L149" t="str">
        <f t="shared" si="5"/>
        <v>Obese</v>
      </c>
    </row>
    <row r="150" spans="1:12" x14ac:dyDescent="0.2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>
        <v>0</v>
      </c>
      <c r="K150" t="str">
        <f t="shared" si="4"/>
        <v>Senior</v>
      </c>
      <c r="L150" t="str">
        <f t="shared" si="5"/>
        <v>Obese</v>
      </c>
    </row>
    <row r="151" spans="1:12" x14ac:dyDescent="0.2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>
        <v>0</v>
      </c>
      <c r="K151" t="str">
        <f t="shared" si="4"/>
        <v>Young</v>
      </c>
      <c r="L151" t="str">
        <f t="shared" si="5"/>
        <v>Overweight</v>
      </c>
    </row>
    <row r="152" spans="1:12" x14ac:dyDescent="0.2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>
        <v>0</v>
      </c>
      <c r="K152" t="str">
        <f t="shared" si="4"/>
        <v>Young</v>
      </c>
      <c r="L152" t="str">
        <f t="shared" si="5"/>
        <v>Obese</v>
      </c>
    </row>
    <row r="153" spans="1:12" x14ac:dyDescent="0.2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>
        <v>0</v>
      </c>
      <c r="K153" t="str">
        <f t="shared" si="4"/>
        <v>Middle-Aged</v>
      </c>
      <c r="L153" t="str">
        <f t="shared" si="5"/>
        <v>Normal</v>
      </c>
    </row>
    <row r="154" spans="1:12" x14ac:dyDescent="0.2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>
        <v>1</v>
      </c>
      <c r="K154" t="str">
        <f t="shared" si="4"/>
        <v>Middle-Aged</v>
      </c>
      <c r="L154" t="str">
        <f t="shared" si="5"/>
        <v>Obese</v>
      </c>
    </row>
    <row r="155" spans="1:12" x14ac:dyDescent="0.2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>
        <v>0</v>
      </c>
      <c r="K155" t="str">
        <f t="shared" si="4"/>
        <v>Young</v>
      </c>
      <c r="L155" t="str">
        <f t="shared" si="5"/>
        <v>Obese</v>
      </c>
    </row>
    <row r="156" spans="1:12" x14ac:dyDescent="0.2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>
        <v>1</v>
      </c>
      <c r="K156" t="str">
        <f t="shared" si="4"/>
        <v>Middle-Aged</v>
      </c>
      <c r="L156" t="str">
        <f t="shared" si="5"/>
        <v>Obese</v>
      </c>
    </row>
    <row r="157" spans="1:12" x14ac:dyDescent="0.2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>
        <v>1</v>
      </c>
      <c r="K157" t="str">
        <f t="shared" si="4"/>
        <v>Middle-Aged</v>
      </c>
      <c r="L157" t="str">
        <f t="shared" si="5"/>
        <v>Obese</v>
      </c>
    </row>
    <row r="158" spans="1:12" x14ac:dyDescent="0.2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>
        <v>0</v>
      </c>
      <c r="K158" t="str">
        <f t="shared" si="4"/>
        <v>Young</v>
      </c>
      <c r="L158" t="str">
        <f t="shared" si="5"/>
        <v>Normal</v>
      </c>
    </row>
    <row r="159" spans="1:12" x14ac:dyDescent="0.2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>
        <v>0</v>
      </c>
      <c r="K159" t="str">
        <f t="shared" si="4"/>
        <v>Young</v>
      </c>
      <c r="L159" t="str">
        <f t="shared" si="5"/>
        <v>Overweight</v>
      </c>
    </row>
    <row r="160" spans="1:12" x14ac:dyDescent="0.2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>
        <v>0</v>
      </c>
      <c r="K160" t="str">
        <f t="shared" si="4"/>
        <v>Young</v>
      </c>
      <c r="L160" t="str">
        <f t="shared" si="5"/>
        <v>Overweight</v>
      </c>
    </row>
    <row r="161" spans="1:12" x14ac:dyDescent="0.2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>
        <v>1</v>
      </c>
      <c r="K161" t="str">
        <f t="shared" si="4"/>
        <v>Senior</v>
      </c>
      <c r="L161" t="str">
        <f t="shared" si="5"/>
        <v>Obese</v>
      </c>
    </row>
    <row r="162" spans="1:12" x14ac:dyDescent="0.2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>
        <v>0</v>
      </c>
      <c r="K162" t="str">
        <f t="shared" si="4"/>
        <v>Middle-Aged</v>
      </c>
      <c r="L162" t="str">
        <f t="shared" si="5"/>
        <v>Overweight</v>
      </c>
    </row>
    <row r="163" spans="1:12" x14ac:dyDescent="0.2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>
        <v>0</v>
      </c>
      <c r="K163" t="str">
        <f t="shared" si="4"/>
        <v>Senior</v>
      </c>
      <c r="L163" t="str">
        <f t="shared" si="5"/>
        <v>Obese</v>
      </c>
    </row>
    <row r="164" spans="1:12" x14ac:dyDescent="0.2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>
        <v>0</v>
      </c>
      <c r="K164" t="str">
        <f t="shared" si="4"/>
        <v>Young</v>
      </c>
      <c r="L164" t="str">
        <f t="shared" si="5"/>
        <v>Obese</v>
      </c>
    </row>
    <row r="165" spans="1:12" x14ac:dyDescent="0.2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>
        <v>0</v>
      </c>
      <c r="K165" t="str">
        <f t="shared" si="4"/>
        <v>Young</v>
      </c>
      <c r="L165" t="str">
        <f t="shared" si="5"/>
        <v>Overweight</v>
      </c>
    </row>
    <row r="166" spans="1:12" x14ac:dyDescent="0.2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>
        <v>1</v>
      </c>
      <c r="K166" t="str">
        <f t="shared" si="4"/>
        <v>Middle-Aged</v>
      </c>
      <c r="L166" t="str">
        <f t="shared" si="5"/>
        <v>Obese</v>
      </c>
    </row>
    <row r="167" spans="1:12" x14ac:dyDescent="0.2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>
        <v>1</v>
      </c>
      <c r="K167" t="str">
        <f t="shared" si="4"/>
        <v>Middle-Aged</v>
      </c>
      <c r="L167" t="str">
        <f t="shared" si="5"/>
        <v>Overweight</v>
      </c>
    </row>
    <row r="168" spans="1:12" x14ac:dyDescent="0.2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>
        <v>0</v>
      </c>
      <c r="K168" t="str">
        <f t="shared" si="4"/>
        <v>Young</v>
      </c>
      <c r="L168" t="str">
        <f t="shared" si="5"/>
        <v>Obese</v>
      </c>
    </row>
    <row r="169" spans="1:12" x14ac:dyDescent="0.2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>
        <v>0</v>
      </c>
      <c r="K169" t="str">
        <f t="shared" si="4"/>
        <v>Middle-Aged</v>
      </c>
      <c r="L169" t="str">
        <f t="shared" si="5"/>
        <v>Overweight</v>
      </c>
    </row>
    <row r="170" spans="1:12" x14ac:dyDescent="0.2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>
        <v>0</v>
      </c>
      <c r="K170" t="str">
        <f t="shared" si="4"/>
        <v>Young</v>
      </c>
      <c r="L170" t="str">
        <f t="shared" si="5"/>
        <v>Obese</v>
      </c>
    </row>
    <row r="171" spans="1:12" x14ac:dyDescent="0.2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>
        <v>0</v>
      </c>
      <c r="K171" t="str">
        <f t="shared" si="4"/>
        <v>Young</v>
      </c>
      <c r="L171" t="str">
        <f t="shared" si="5"/>
        <v>Overweight</v>
      </c>
    </row>
    <row r="172" spans="1:12" x14ac:dyDescent="0.2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>
        <v>1</v>
      </c>
      <c r="K172" t="str">
        <f t="shared" si="4"/>
        <v>Middle-Aged</v>
      </c>
      <c r="L172" t="str">
        <f t="shared" si="5"/>
        <v>Obese</v>
      </c>
    </row>
    <row r="173" spans="1:12" x14ac:dyDescent="0.2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>
        <v>1</v>
      </c>
      <c r="K173" t="str">
        <f t="shared" si="4"/>
        <v>Young</v>
      </c>
      <c r="L173" t="str">
        <f t="shared" si="5"/>
        <v>Obese</v>
      </c>
    </row>
    <row r="174" spans="1:12" x14ac:dyDescent="0.2">
      <c r="A174">
        <v>173</v>
      </c>
      <c r="B174">
        <v>2</v>
      </c>
      <c r="C174">
        <v>87</v>
      </c>
      <c r="D174">
        <v>121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>
        <v>0</v>
      </c>
      <c r="K174" t="str">
        <f t="shared" si="4"/>
        <v>Young</v>
      </c>
      <c r="L174" t="str">
        <f t="shared" si="5"/>
        <v>Overweight</v>
      </c>
    </row>
    <row r="175" spans="1:12" x14ac:dyDescent="0.2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>
        <v>0</v>
      </c>
      <c r="K175" t="str">
        <f t="shared" si="4"/>
        <v>Young</v>
      </c>
      <c r="L175" t="str">
        <f t="shared" si="5"/>
        <v>Obese</v>
      </c>
    </row>
    <row r="176" spans="1:12" x14ac:dyDescent="0.2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>
        <v>0</v>
      </c>
      <c r="K176" t="str">
        <f t="shared" si="4"/>
        <v>Middle-Aged</v>
      </c>
      <c r="L176" t="str">
        <f t="shared" si="5"/>
        <v>Overweight</v>
      </c>
    </row>
    <row r="177" spans="1:12" x14ac:dyDescent="0.2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>
        <v>1</v>
      </c>
      <c r="K177" t="str">
        <f t="shared" si="4"/>
        <v>Middle-Aged</v>
      </c>
      <c r="L177" t="str">
        <f t="shared" si="5"/>
        <v>Obese</v>
      </c>
    </row>
    <row r="178" spans="1:12" x14ac:dyDescent="0.2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>
        <v>0</v>
      </c>
      <c r="K178" t="str">
        <f t="shared" si="4"/>
        <v>Middle-Aged</v>
      </c>
      <c r="L178" t="str">
        <f t="shared" si="5"/>
        <v>Obese</v>
      </c>
    </row>
    <row r="179" spans="1:12" x14ac:dyDescent="0.2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>
        <v>1</v>
      </c>
      <c r="K179" t="str">
        <f t="shared" si="4"/>
        <v>Young</v>
      </c>
      <c r="L179" t="str">
        <f t="shared" si="5"/>
        <v>Obese</v>
      </c>
    </row>
    <row r="180" spans="1:12" x14ac:dyDescent="0.2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>
        <v>0</v>
      </c>
      <c r="K180" t="str">
        <f t="shared" si="4"/>
        <v>Senior</v>
      </c>
      <c r="L180" t="str">
        <f t="shared" si="5"/>
        <v>Obese</v>
      </c>
    </row>
    <row r="181" spans="1:12" x14ac:dyDescent="0.2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>
        <v>1</v>
      </c>
      <c r="K181" t="str">
        <f t="shared" si="4"/>
        <v>Middle-Aged</v>
      </c>
      <c r="L181" t="str">
        <f t="shared" si="5"/>
        <v>Obese</v>
      </c>
    </row>
    <row r="182" spans="1:12" x14ac:dyDescent="0.2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>
        <v>0</v>
      </c>
      <c r="K182" t="str">
        <f t="shared" si="4"/>
        <v>Middle-Aged</v>
      </c>
      <c r="L182" t="str">
        <f t="shared" si="5"/>
        <v>Normal</v>
      </c>
    </row>
    <row r="183" spans="1:12" x14ac:dyDescent="0.2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>
        <v>0</v>
      </c>
      <c r="K183" t="str">
        <f t="shared" si="4"/>
        <v>Young</v>
      </c>
      <c r="L183" t="str">
        <f t="shared" si="5"/>
        <v>Obese</v>
      </c>
    </row>
    <row r="184" spans="1:12" x14ac:dyDescent="0.2">
      <c r="A184">
        <v>183</v>
      </c>
      <c r="B184">
        <v>1</v>
      </c>
      <c r="C184">
        <v>121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>
        <v>0</v>
      </c>
      <c r="K184" t="str">
        <f t="shared" si="4"/>
        <v>Young</v>
      </c>
      <c r="L184" t="str">
        <f t="shared" si="5"/>
        <v>Overweight</v>
      </c>
    </row>
    <row r="185" spans="1:12" x14ac:dyDescent="0.2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>
        <v>0</v>
      </c>
      <c r="K185" t="str">
        <f t="shared" si="4"/>
        <v>Young</v>
      </c>
      <c r="L185" t="str">
        <f t="shared" si="5"/>
        <v>Overweight</v>
      </c>
    </row>
    <row r="186" spans="1:12" x14ac:dyDescent="0.2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>
        <v>0</v>
      </c>
      <c r="K186" t="str">
        <f t="shared" si="4"/>
        <v>Middle-Aged</v>
      </c>
      <c r="L186" t="str">
        <f t="shared" si="5"/>
        <v>Overweight</v>
      </c>
    </row>
    <row r="187" spans="1:12" x14ac:dyDescent="0.2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>
        <v>1</v>
      </c>
      <c r="K187" t="str">
        <f t="shared" si="4"/>
        <v>Middle-Aged</v>
      </c>
      <c r="L187" t="str">
        <f t="shared" si="5"/>
        <v>Obese</v>
      </c>
    </row>
    <row r="188" spans="1:12" x14ac:dyDescent="0.2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>
        <v>1</v>
      </c>
      <c r="K188" t="str">
        <f t="shared" si="4"/>
        <v>Senior</v>
      </c>
      <c r="L188" t="str">
        <f t="shared" si="5"/>
        <v>Obese</v>
      </c>
    </row>
    <row r="189" spans="1:12" x14ac:dyDescent="0.2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>
        <v>1</v>
      </c>
      <c r="K189" t="str">
        <f t="shared" si="4"/>
        <v>Middle-Aged</v>
      </c>
      <c r="L189" t="str">
        <f t="shared" si="5"/>
        <v>Obese</v>
      </c>
    </row>
    <row r="190" spans="1:12" x14ac:dyDescent="0.2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>
        <v>1</v>
      </c>
      <c r="K190" t="str">
        <f t="shared" si="4"/>
        <v>Middle-Aged</v>
      </c>
      <c r="L190" t="str">
        <f t="shared" si="5"/>
        <v>Overweight</v>
      </c>
    </row>
    <row r="191" spans="1:12" x14ac:dyDescent="0.2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>
        <v>1</v>
      </c>
      <c r="K191" t="str">
        <f t="shared" si="4"/>
        <v>Young</v>
      </c>
      <c r="L191" t="str">
        <f t="shared" si="5"/>
        <v>Obese</v>
      </c>
    </row>
    <row r="192" spans="1:12" x14ac:dyDescent="0.2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>
        <v>0</v>
      </c>
      <c r="K192" t="str">
        <f t="shared" si="4"/>
        <v>Young</v>
      </c>
      <c r="L192" t="str">
        <f t="shared" si="5"/>
        <v>Normal</v>
      </c>
    </row>
    <row r="193" spans="1:12" x14ac:dyDescent="0.2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>
        <v>0</v>
      </c>
      <c r="K193" t="str">
        <f t="shared" si="4"/>
        <v>Middle-Aged</v>
      </c>
      <c r="L193" t="str">
        <f t="shared" si="5"/>
        <v>Obese</v>
      </c>
    </row>
    <row r="194" spans="1:12" x14ac:dyDescent="0.2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>
        <v>1</v>
      </c>
      <c r="K194" t="str">
        <f t="shared" si="4"/>
        <v>Middle-Aged</v>
      </c>
      <c r="L194" t="str">
        <f t="shared" si="5"/>
        <v>Obese</v>
      </c>
    </row>
    <row r="195" spans="1:12" x14ac:dyDescent="0.2">
      <c r="A195">
        <v>194</v>
      </c>
      <c r="B195">
        <v>11</v>
      </c>
      <c r="C195">
        <v>135</v>
      </c>
      <c r="D195">
        <v>121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>
        <v>1</v>
      </c>
      <c r="K195" t="str">
        <f t="shared" ref="K195:K258" si="6">IF(I195&lt;30, "Young", IF( I195&lt;45, "Middle-Aged", "Senior"))</f>
        <v>Middle-Aged</v>
      </c>
      <c r="L195" t="str">
        <f t="shared" ref="L195:L258" si="7">IF(G195&lt;18.5, "Underweight", IF(G195&lt;25, "Normal", IF(G195&lt;30, "Overweight", "Obese")))</f>
        <v>Obese</v>
      </c>
    </row>
    <row r="196" spans="1:12" x14ac:dyDescent="0.2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>
        <v>0</v>
      </c>
      <c r="K196" t="str">
        <f t="shared" si="6"/>
        <v>Middle-Aged</v>
      </c>
      <c r="L196" t="str">
        <f t="shared" si="7"/>
        <v>Normal</v>
      </c>
    </row>
    <row r="197" spans="1:12" x14ac:dyDescent="0.2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>
        <v>1</v>
      </c>
      <c r="K197" t="str">
        <f t="shared" si="6"/>
        <v>Young</v>
      </c>
      <c r="L197" t="str">
        <f t="shared" si="7"/>
        <v>Obese</v>
      </c>
    </row>
    <row r="198" spans="1:12" x14ac:dyDescent="0.2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>
        <v>0</v>
      </c>
      <c r="K198" t="str">
        <f t="shared" si="6"/>
        <v>Young</v>
      </c>
      <c r="L198" t="str">
        <f t="shared" si="7"/>
        <v>Normal</v>
      </c>
    </row>
    <row r="199" spans="1:12" x14ac:dyDescent="0.2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>
        <v>1</v>
      </c>
      <c r="K199" t="str">
        <f t="shared" si="6"/>
        <v>Young</v>
      </c>
      <c r="L199" t="str">
        <f t="shared" si="7"/>
        <v>Normal</v>
      </c>
    </row>
    <row r="200" spans="1:12" x14ac:dyDescent="0.2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>
        <v>1</v>
      </c>
      <c r="K200" t="str">
        <f t="shared" si="6"/>
        <v>Young</v>
      </c>
      <c r="L200" t="str">
        <f t="shared" si="7"/>
        <v>Obese</v>
      </c>
    </row>
    <row r="201" spans="1:12" x14ac:dyDescent="0.2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>
        <v>1</v>
      </c>
      <c r="K201" t="str">
        <f t="shared" si="6"/>
        <v>Young</v>
      </c>
      <c r="L201" t="str">
        <f t="shared" si="7"/>
        <v>Obese</v>
      </c>
    </row>
    <row r="202" spans="1:12" x14ac:dyDescent="0.2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>
        <v>0</v>
      </c>
      <c r="K202" t="str">
        <f t="shared" si="6"/>
        <v>Young</v>
      </c>
      <c r="L202" t="str">
        <f t="shared" si="7"/>
        <v>Obese</v>
      </c>
    </row>
    <row r="203" spans="1:12" x14ac:dyDescent="0.2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>
        <v>0</v>
      </c>
      <c r="K203" t="str">
        <f t="shared" si="6"/>
        <v>Young</v>
      </c>
      <c r="L203" t="str">
        <f t="shared" si="7"/>
        <v>Obese</v>
      </c>
    </row>
    <row r="204" spans="1:12" x14ac:dyDescent="0.2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>
        <v>0</v>
      </c>
      <c r="K204" t="str">
        <f t="shared" si="6"/>
        <v>Middle-Aged</v>
      </c>
      <c r="L204" t="str">
        <f t="shared" si="7"/>
        <v>Overweight</v>
      </c>
    </row>
    <row r="205" spans="1:12" x14ac:dyDescent="0.2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>
        <v>0</v>
      </c>
      <c r="K205" t="str">
        <f t="shared" si="6"/>
        <v>Young</v>
      </c>
      <c r="L205" t="str">
        <f t="shared" si="7"/>
        <v>Normal</v>
      </c>
    </row>
    <row r="206" spans="1:12" x14ac:dyDescent="0.2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>
        <v>0</v>
      </c>
      <c r="K206" t="str">
        <f t="shared" si="6"/>
        <v>Senior</v>
      </c>
      <c r="L206" t="str">
        <f t="shared" si="7"/>
        <v>Obese</v>
      </c>
    </row>
    <row r="207" spans="1:12" x14ac:dyDescent="0.2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>
        <v>0</v>
      </c>
      <c r="K207" t="str">
        <f t="shared" si="6"/>
        <v>Young</v>
      </c>
      <c r="L207" t="str">
        <f t="shared" si="7"/>
        <v>Normal</v>
      </c>
    </row>
    <row r="208" spans="1:12" x14ac:dyDescent="0.2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>
        <v>1</v>
      </c>
      <c r="K208" t="str">
        <f t="shared" si="6"/>
        <v>Senior</v>
      </c>
      <c r="L208" t="str">
        <f t="shared" si="7"/>
        <v>Obese</v>
      </c>
    </row>
    <row r="209" spans="1:12" x14ac:dyDescent="0.2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>
        <v>1</v>
      </c>
      <c r="K209" t="str">
        <f t="shared" si="6"/>
        <v>Senior</v>
      </c>
      <c r="L209" t="str">
        <f t="shared" si="7"/>
        <v>Obese</v>
      </c>
    </row>
    <row r="210" spans="1:12" x14ac:dyDescent="0.2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>
        <v>0</v>
      </c>
      <c r="K210" t="str">
        <f t="shared" si="6"/>
        <v>Young</v>
      </c>
      <c r="L210" t="str">
        <f t="shared" si="7"/>
        <v>Obese</v>
      </c>
    </row>
    <row r="211" spans="1:12" x14ac:dyDescent="0.2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>
        <v>1</v>
      </c>
      <c r="K211" t="str">
        <f t="shared" si="6"/>
        <v>Middle-Aged</v>
      </c>
      <c r="L211" t="str">
        <f t="shared" si="7"/>
        <v>Obese</v>
      </c>
    </row>
    <row r="212" spans="1:12" x14ac:dyDescent="0.2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>
        <v>0</v>
      </c>
      <c r="K212" t="str">
        <f t="shared" si="6"/>
        <v>Young</v>
      </c>
      <c r="L212" t="str">
        <f t="shared" si="7"/>
        <v>Overweight</v>
      </c>
    </row>
    <row r="213" spans="1:12" x14ac:dyDescent="0.2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>
        <v>0</v>
      </c>
      <c r="K213" t="str">
        <f t="shared" si="6"/>
        <v>Young</v>
      </c>
      <c r="L213" t="str">
        <f t="shared" si="7"/>
        <v>Obese</v>
      </c>
    </row>
    <row r="214" spans="1:12" x14ac:dyDescent="0.2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>
        <v>0</v>
      </c>
      <c r="K214" t="str">
        <f t="shared" si="6"/>
        <v>Senior</v>
      </c>
      <c r="L214" t="str">
        <f t="shared" si="7"/>
        <v>Obese</v>
      </c>
    </row>
    <row r="215" spans="1:12" x14ac:dyDescent="0.2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>
        <v>1</v>
      </c>
      <c r="K215" t="str">
        <f t="shared" si="6"/>
        <v>Young</v>
      </c>
      <c r="L215" t="str">
        <f t="shared" si="7"/>
        <v>Obese</v>
      </c>
    </row>
    <row r="216" spans="1:12" x14ac:dyDescent="0.2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>
        <v>1</v>
      </c>
      <c r="K216" t="str">
        <f t="shared" si="6"/>
        <v>Middle-Aged</v>
      </c>
      <c r="L216" t="str">
        <f t="shared" si="7"/>
        <v>Obese</v>
      </c>
    </row>
    <row r="217" spans="1:12" x14ac:dyDescent="0.2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>
        <v>1</v>
      </c>
      <c r="K217" t="str">
        <f t="shared" si="6"/>
        <v>Middle-Aged</v>
      </c>
      <c r="L217" t="str">
        <f t="shared" si="7"/>
        <v>Obese</v>
      </c>
    </row>
    <row r="218" spans="1:12" x14ac:dyDescent="0.2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>
        <v>1</v>
      </c>
      <c r="K218" t="str">
        <f t="shared" si="6"/>
        <v>Young</v>
      </c>
      <c r="L218" t="str">
        <f t="shared" si="7"/>
        <v>Obese</v>
      </c>
    </row>
    <row r="219" spans="1:12" x14ac:dyDescent="0.2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>
        <v>0</v>
      </c>
      <c r="K219" t="str">
        <f t="shared" si="6"/>
        <v>Middle-Aged</v>
      </c>
      <c r="L219" t="str">
        <f t="shared" si="7"/>
        <v>Obese</v>
      </c>
    </row>
    <row r="220" spans="1:12" x14ac:dyDescent="0.2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>
        <v>1</v>
      </c>
      <c r="K220" t="str">
        <f t="shared" si="6"/>
        <v>Middle-Aged</v>
      </c>
      <c r="L220" t="str">
        <f t="shared" si="7"/>
        <v>Overweight</v>
      </c>
    </row>
    <row r="221" spans="1:12" x14ac:dyDescent="0.2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>
        <v>1</v>
      </c>
      <c r="K221" t="str">
        <f t="shared" si="6"/>
        <v>Middle-Aged</v>
      </c>
      <c r="L221" t="str">
        <f t="shared" si="7"/>
        <v>Obese</v>
      </c>
    </row>
    <row r="222" spans="1:12" x14ac:dyDescent="0.2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>
        <v>1</v>
      </c>
      <c r="K222" t="str">
        <f t="shared" si="6"/>
        <v>Young</v>
      </c>
      <c r="L222" t="str">
        <f t="shared" si="7"/>
        <v>Obese</v>
      </c>
    </row>
    <row r="223" spans="1:12" x14ac:dyDescent="0.2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>
        <v>1</v>
      </c>
      <c r="K223" t="str">
        <f t="shared" si="6"/>
        <v>Senior</v>
      </c>
      <c r="L223" t="str">
        <f t="shared" si="7"/>
        <v>Obese</v>
      </c>
    </row>
    <row r="224" spans="1:12" x14ac:dyDescent="0.2">
      <c r="A224">
        <v>223</v>
      </c>
      <c r="B224">
        <v>7</v>
      </c>
      <c r="C224">
        <v>119</v>
      </c>
      <c r="D224">
        <v>121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>
        <v>0</v>
      </c>
      <c r="K224" t="str">
        <f t="shared" si="6"/>
        <v>Middle-Aged</v>
      </c>
      <c r="L224" t="str">
        <f t="shared" si="7"/>
        <v>Overweight</v>
      </c>
    </row>
    <row r="225" spans="1:12" x14ac:dyDescent="0.2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>
        <v>0</v>
      </c>
      <c r="K225" t="str">
        <f t="shared" si="6"/>
        <v>Senior</v>
      </c>
      <c r="L225" t="str">
        <f t="shared" si="7"/>
        <v>Overweight</v>
      </c>
    </row>
    <row r="226" spans="1:12" x14ac:dyDescent="0.2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>
        <v>0</v>
      </c>
      <c r="K226" t="str">
        <f t="shared" si="6"/>
        <v>Young</v>
      </c>
      <c r="L226" t="str">
        <f t="shared" si="7"/>
        <v>Normal</v>
      </c>
    </row>
    <row r="227" spans="1:12" x14ac:dyDescent="0.2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>
        <v>0</v>
      </c>
      <c r="K227" t="str">
        <f t="shared" si="6"/>
        <v>Young</v>
      </c>
      <c r="L227" t="str">
        <f t="shared" si="7"/>
        <v>Obese</v>
      </c>
    </row>
    <row r="228" spans="1:12" x14ac:dyDescent="0.2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>
        <v>0</v>
      </c>
      <c r="K228" t="str">
        <f t="shared" si="6"/>
        <v>Young</v>
      </c>
      <c r="L228" t="str">
        <f t="shared" si="7"/>
        <v>Obese</v>
      </c>
    </row>
    <row r="229" spans="1:12" x14ac:dyDescent="0.2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>
        <v>1</v>
      </c>
      <c r="K229" t="str">
        <f t="shared" si="6"/>
        <v>Young</v>
      </c>
      <c r="L229" t="str">
        <f t="shared" si="7"/>
        <v>Obese</v>
      </c>
    </row>
    <row r="230" spans="1:12" x14ac:dyDescent="0.2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>
        <v>0</v>
      </c>
      <c r="K230" t="str">
        <f t="shared" si="6"/>
        <v>Middle-Aged</v>
      </c>
      <c r="L230" t="str">
        <f t="shared" si="7"/>
        <v>Obese</v>
      </c>
    </row>
    <row r="231" spans="1:12" x14ac:dyDescent="0.2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>
        <v>0</v>
      </c>
      <c r="K231" t="str">
        <f t="shared" si="6"/>
        <v>Young</v>
      </c>
      <c r="L231" t="str">
        <f t="shared" si="7"/>
        <v>Obese</v>
      </c>
    </row>
    <row r="232" spans="1:12" x14ac:dyDescent="0.2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>
        <v>1</v>
      </c>
      <c r="K232" t="str">
        <f t="shared" si="6"/>
        <v>Young</v>
      </c>
      <c r="L232" t="str">
        <f t="shared" si="7"/>
        <v>Obese</v>
      </c>
    </row>
    <row r="233" spans="1:12" x14ac:dyDescent="0.2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>
        <v>1</v>
      </c>
      <c r="K233" t="str">
        <f t="shared" si="6"/>
        <v>Senior</v>
      </c>
      <c r="L233" t="str">
        <f t="shared" si="7"/>
        <v>Obese</v>
      </c>
    </row>
    <row r="234" spans="1:12" x14ac:dyDescent="0.2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>
        <v>0</v>
      </c>
      <c r="K234" t="str">
        <f t="shared" si="6"/>
        <v>Young</v>
      </c>
      <c r="L234" t="str">
        <f t="shared" si="7"/>
        <v>Overweight</v>
      </c>
    </row>
    <row r="235" spans="1:12" x14ac:dyDescent="0.2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>
        <v>0</v>
      </c>
      <c r="K235" t="str">
        <f t="shared" si="6"/>
        <v>Young</v>
      </c>
      <c r="L235" t="str">
        <f t="shared" si="7"/>
        <v>Obese</v>
      </c>
    </row>
    <row r="236" spans="1:12" x14ac:dyDescent="0.2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>
        <v>0</v>
      </c>
      <c r="K236" t="str">
        <f t="shared" si="6"/>
        <v>Young</v>
      </c>
      <c r="L236" t="str">
        <f t="shared" si="7"/>
        <v>Overweight</v>
      </c>
    </row>
    <row r="237" spans="1:12" x14ac:dyDescent="0.2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>
        <v>1</v>
      </c>
      <c r="K237" t="str">
        <f t="shared" si="6"/>
        <v>Young</v>
      </c>
      <c r="L237" t="str">
        <f t="shared" si="7"/>
        <v>Obese</v>
      </c>
    </row>
    <row r="238" spans="1:12" x14ac:dyDescent="0.2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>
        <v>1</v>
      </c>
      <c r="K238" t="str">
        <f t="shared" si="6"/>
        <v>Senior</v>
      </c>
      <c r="L238" t="str">
        <f t="shared" si="7"/>
        <v>Obese</v>
      </c>
    </row>
    <row r="239" spans="1:12" x14ac:dyDescent="0.2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>
        <v>1</v>
      </c>
      <c r="K239" t="str">
        <f t="shared" si="6"/>
        <v>Young</v>
      </c>
      <c r="L239" t="str">
        <f t="shared" si="7"/>
        <v>Obese</v>
      </c>
    </row>
    <row r="240" spans="1:12" x14ac:dyDescent="0.2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>
        <v>1</v>
      </c>
      <c r="K240" t="str">
        <f t="shared" si="6"/>
        <v>Middle-Aged</v>
      </c>
      <c r="L240" t="str">
        <f t="shared" si="7"/>
        <v>Obese</v>
      </c>
    </row>
    <row r="241" spans="1:12" x14ac:dyDescent="0.2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>
        <v>0</v>
      </c>
      <c r="K241" t="str">
        <f t="shared" si="6"/>
        <v>Young</v>
      </c>
      <c r="L241" t="str">
        <f t="shared" si="7"/>
        <v>Underweight</v>
      </c>
    </row>
    <row r="242" spans="1:12" x14ac:dyDescent="0.2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>
        <v>0</v>
      </c>
      <c r="K242" t="str">
        <f t="shared" si="6"/>
        <v>Young</v>
      </c>
      <c r="L242" t="str">
        <f t="shared" si="7"/>
        <v>Overweight</v>
      </c>
    </row>
    <row r="243" spans="1:12" x14ac:dyDescent="0.2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>
        <v>0</v>
      </c>
      <c r="K243" t="str">
        <f t="shared" si="6"/>
        <v>Young</v>
      </c>
      <c r="L243" t="str">
        <f t="shared" si="7"/>
        <v>Obese</v>
      </c>
    </row>
    <row r="244" spans="1:12" x14ac:dyDescent="0.2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>
        <v>1</v>
      </c>
      <c r="K244" t="str">
        <f t="shared" si="6"/>
        <v>Young</v>
      </c>
      <c r="L244" t="str">
        <f t="shared" si="7"/>
        <v>Overweight</v>
      </c>
    </row>
    <row r="245" spans="1:12" x14ac:dyDescent="0.2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>
        <v>1</v>
      </c>
      <c r="K245" t="str">
        <f t="shared" si="6"/>
        <v>Middle-Aged</v>
      </c>
      <c r="L245" t="str">
        <f t="shared" si="7"/>
        <v>Overweight</v>
      </c>
    </row>
    <row r="246" spans="1:12" x14ac:dyDescent="0.2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>
        <v>0</v>
      </c>
      <c r="K246" t="str">
        <f t="shared" si="6"/>
        <v>Young</v>
      </c>
      <c r="L246" t="str">
        <f t="shared" si="7"/>
        <v>Obese</v>
      </c>
    </row>
    <row r="247" spans="1:12" x14ac:dyDescent="0.2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>
        <v>1</v>
      </c>
      <c r="K247" t="str">
        <f t="shared" si="6"/>
        <v>Senior</v>
      </c>
      <c r="L247" t="str">
        <f t="shared" si="7"/>
        <v>Obese</v>
      </c>
    </row>
    <row r="248" spans="1:12" x14ac:dyDescent="0.2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>
        <v>0</v>
      </c>
      <c r="K248" t="str">
        <f t="shared" si="6"/>
        <v>Middle-Aged</v>
      </c>
      <c r="L248" t="str">
        <f t="shared" si="7"/>
        <v>Obese</v>
      </c>
    </row>
    <row r="249" spans="1:12" x14ac:dyDescent="0.2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>
        <v>0</v>
      </c>
      <c r="K249" t="str">
        <f t="shared" si="6"/>
        <v>Young</v>
      </c>
      <c r="L249" t="str">
        <f t="shared" si="7"/>
        <v>Obese</v>
      </c>
    </row>
    <row r="250" spans="1:12" x14ac:dyDescent="0.2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>
        <v>0</v>
      </c>
      <c r="K250" t="str">
        <f t="shared" si="6"/>
        <v>Middle-Aged</v>
      </c>
      <c r="L250" t="str">
        <f t="shared" si="7"/>
        <v>Obese</v>
      </c>
    </row>
    <row r="251" spans="1:12" x14ac:dyDescent="0.2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>
        <v>0</v>
      </c>
      <c r="K251" t="str">
        <f t="shared" si="6"/>
        <v>Young</v>
      </c>
      <c r="L251" t="str">
        <f t="shared" si="7"/>
        <v>Obese</v>
      </c>
    </row>
    <row r="252" spans="1:12" x14ac:dyDescent="0.2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>
        <v>0</v>
      </c>
      <c r="K252" t="str">
        <f t="shared" si="6"/>
        <v>Middle-Aged</v>
      </c>
      <c r="L252" t="str">
        <f t="shared" si="7"/>
        <v>Obese</v>
      </c>
    </row>
    <row r="253" spans="1:12" x14ac:dyDescent="0.2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>
        <v>0</v>
      </c>
      <c r="K253" t="str">
        <f t="shared" si="6"/>
        <v>Young</v>
      </c>
      <c r="L253" t="str">
        <f t="shared" si="7"/>
        <v>Overweight</v>
      </c>
    </row>
    <row r="254" spans="1:12" x14ac:dyDescent="0.2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>
        <v>0</v>
      </c>
      <c r="K254" t="str">
        <f t="shared" si="6"/>
        <v>Young</v>
      </c>
      <c r="L254" t="str">
        <f t="shared" si="7"/>
        <v>Normal</v>
      </c>
    </row>
    <row r="255" spans="1:12" x14ac:dyDescent="0.2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>
        <v>0</v>
      </c>
      <c r="K255" t="str">
        <f t="shared" si="6"/>
        <v>Young</v>
      </c>
      <c r="L255" t="str">
        <f t="shared" si="7"/>
        <v>Obese</v>
      </c>
    </row>
    <row r="256" spans="1:12" x14ac:dyDescent="0.2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>
        <v>1</v>
      </c>
      <c r="K256" t="str">
        <f t="shared" si="6"/>
        <v>Middle-Aged</v>
      </c>
      <c r="L256" t="str">
        <f t="shared" si="7"/>
        <v>Overweight</v>
      </c>
    </row>
    <row r="257" spans="1:12" x14ac:dyDescent="0.2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>
        <v>1</v>
      </c>
      <c r="K257" t="str">
        <f t="shared" si="6"/>
        <v>Young</v>
      </c>
      <c r="L257" t="str">
        <f t="shared" si="7"/>
        <v>Obese</v>
      </c>
    </row>
    <row r="258" spans="1:12" x14ac:dyDescent="0.2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>
        <v>0</v>
      </c>
      <c r="K258" t="str">
        <f t="shared" si="6"/>
        <v>Middle-Aged</v>
      </c>
      <c r="L258" t="str">
        <f t="shared" si="7"/>
        <v>Obese</v>
      </c>
    </row>
    <row r="259" spans="1:12" x14ac:dyDescent="0.2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>
        <v>0</v>
      </c>
      <c r="K259" t="str">
        <f t="shared" ref="K259:K322" si="8">IF(I259&lt;30, "Young", IF( I259&lt;45, "Middle-Aged", "Senior"))</f>
        <v>Young</v>
      </c>
      <c r="L259" t="str">
        <f t="shared" ref="L259:L322" si="9">IF(G259&lt;18.5, "Underweight", IF(G259&lt;25, "Normal", IF(G259&lt;30, "Overweight", "Obese")))</f>
        <v>Overweight</v>
      </c>
    </row>
    <row r="260" spans="1:12" x14ac:dyDescent="0.2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>
        <v>0</v>
      </c>
      <c r="K260" t="str">
        <f t="shared" si="8"/>
        <v>Young</v>
      </c>
      <c r="L260" t="str">
        <f t="shared" si="9"/>
        <v>Overweight</v>
      </c>
    </row>
    <row r="261" spans="1:12" x14ac:dyDescent="0.2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>
        <v>1</v>
      </c>
      <c r="K261" t="str">
        <f t="shared" si="8"/>
        <v>Senior</v>
      </c>
      <c r="L261" t="str">
        <f t="shared" si="9"/>
        <v>Obese</v>
      </c>
    </row>
    <row r="262" spans="1:12" x14ac:dyDescent="0.2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>
        <v>0</v>
      </c>
      <c r="K262" t="str">
        <f t="shared" si="8"/>
        <v>Middle-Aged</v>
      </c>
      <c r="L262" t="str">
        <f t="shared" si="9"/>
        <v>Obese</v>
      </c>
    </row>
    <row r="263" spans="1:12" x14ac:dyDescent="0.2">
      <c r="A263">
        <v>262</v>
      </c>
      <c r="B263">
        <v>3</v>
      </c>
      <c r="C263">
        <v>141</v>
      </c>
      <c r="D263">
        <v>121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>
        <v>1</v>
      </c>
      <c r="K263" t="str">
        <f t="shared" si="8"/>
        <v>Young</v>
      </c>
      <c r="L263" t="str">
        <f t="shared" si="9"/>
        <v>Obese</v>
      </c>
    </row>
    <row r="264" spans="1:12" x14ac:dyDescent="0.2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>
        <v>0</v>
      </c>
      <c r="K264" t="str">
        <f t="shared" si="8"/>
        <v>Young</v>
      </c>
      <c r="L264" t="str">
        <f t="shared" si="9"/>
        <v>Obese</v>
      </c>
    </row>
    <row r="265" spans="1:12" x14ac:dyDescent="0.2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>
        <v>0</v>
      </c>
      <c r="K265" t="str">
        <f t="shared" si="8"/>
        <v>Senior</v>
      </c>
      <c r="L265" t="str">
        <f t="shared" si="9"/>
        <v>Obese</v>
      </c>
    </row>
    <row r="266" spans="1:12" x14ac:dyDescent="0.2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>
        <v>1</v>
      </c>
      <c r="K266" t="str">
        <f t="shared" si="8"/>
        <v>Middle-Aged</v>
      </c>
      <c r="L266" t="str">
        <f t="shared" si="9"/>
        <v>Obese</v>
      </c>
    </row>
    <row r="267" spans="1:12" x14ac:dyDescent="0.2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>
        <v>0</v>
      </c>
      <c r="K267" t="str">
        <f t="shared" si="8"/>
        <v>Middle-Aged</v>
      </c>
      <c r="L267" t="str">
        <f t="shared" si="9"/>
        <v>Obese</v>
      </c>
    </row>
    <row r="268" spans="1:12" x14ac:dyDescent="0.2">
      <c r="A268">
        <v>267</v>
      </c>
      <c r="B268">
        <v>0</v>
      </c>
      <c r="C268">
        <v>138</v>
      </c>
      <c r="D268">
        <v>121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>
        <v>1</v>
      </c>
      <c r="K268" t="str">
        <f t="shared" si="8"/>
        <v>Young</v>
      </c>
      <c r="L268" t="str">
        <f t="shared" si="9"/>
        <v>Obese</v>
      </c>
    </row>
    <row r="269" spans="1:12" x14ac:dyDescent="0.2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>
        <v>0</v>
      </c>
      <c r="K269" t="str">
        <f t="shared" si="8"/>
        <v>Young</v>
      </c>
      <c r="L269" t="str">
        <f t="shared" si="9"/>
        <v>Obese</v>
      </c>
    </row>
    <row r="270" spans="1:12" x14ac:dyDescent="0.2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>
        <v>0</v>
      </c>
      <c r="K270" t="str">
        <f t="shared" si="8"/>
        <v>Young</v>
      </c>
      <c r="L270" t="str">
        <f t="shared" si="9"/>
        <v>Overweight</v>
      </c>
    </row>
    <row r="271" spans="1:12" x14ac:dyDescent="0.2">
      <c r="A271">
        <v>270</v>
      </c>
      <c r="B271">
        <v>2</v>
      </c>
      <c r="C271">
        <v>146</v>
      </c>
      <c r="D271">
        <v>121</v>
      </c>
      <c r="E271">
        <v>0</v>
      </c>
      <c r="F271">
        <v>0</v>
      </c>
      <c r="G271">
        <v>27.5</v>
      </c>
      <c r="H271">
        <v>0.24</v>
      </c>
      <c r="I271">
        <v>28</v>
      </c>
      <c r="J271">
        <v>1</v>
      </c>
      <c r="K271" t="str">
        <f t="shared" si="8"/>
        <v>Young</v>
      </c>
      <c r="L271" t="str">
        <f t="shared" si="9"/>
        <v>Overweight</v>
      </c>
    </row>
    <row r="272" spans="1:12" x14ac:dyDescent="0.2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>
        <v>1</v>
      </c>
      <c r="K272" t="str">
        <f t="shared" si="8"/>
        <v>Middle-Aged</v>
      </c>
      <c r="L272" t="str">
        <f t="shared" si="9"/>
        <v>Obese</v>
      </c>
    </row>
    <row r="273" spans="1:12" x14ac:dyDescent="0.2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>
        <v>0</v>
      </c>
      <c r="K273" t="str">
        <f t="shared" si="8"/>
        <v>Young</v>
      </c>
      <c r="L273" t="str">
        <f t="shared" si="9"/>
        <v>Overweight</v>
      </c>
    </row>
    <row r="274" spans="1:12" x14ac:dyDescent="0.2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>
        <v>0</v>
      </c>
      <c r="K274" t="str">
        <f t="shared" si="8"/>
        <v>Middle-Aged</v>
      </c>
      <c r="L274" t="str">
        <f t="shared" si="9"/>
        <v>Normal</v>
      </c>
    </row>
    <row r="275" spans="1:12" x14ac:dyDescent="0.2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>
        <v>0</v>
      </c>
      <c r="K275" t="str">
        <f t="shared" si="8"/>
        <v>Young</v>
      </c>
      <c r="L275" t="str">
        <f t="shared" si="9"/>
        <v>Obese</v>
      </c>
    </row>
    <row r="276" spans="1:12" x14ac:dyDescent="0.2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>
        <v>0</v>
      </c>
      <c r="K276" t="str">
        <f t="shared" si="8"/>
        <v>Senior</v>
      </c>
      <c r="L276" t="str">
        <f t="shared" si="9"/>
        <v>Obese</v>
      </c>
    </row>
    <row r="277" spans="1:12" x14ac:dyDescent="0.2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>
        <v>0</v>
      </c>
      <c r="K277" t="str">
        <f t="shared" si="8"/>
        <v>Young</v>
      </c>
      <c r="L277" t="str">
        <f t="shared" si="9"/>
        <v>Obese</v>
      </c>
    </row>
    <row r="278" spans="1:12" x14ac:dyDescent="0.2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>
        <v>1</v>
      </c>
      <c r="K278" t="str">
        <f t="shared" si="8"/>
        <v>Young</v>
      </c>
      <c r="L278" t="str">
        <f t="shared" si="9"/>
        <v>Overweight</v>
      </c>
    </row>
    <row r="279" spans="1:12" x14ac:dyDescent="0.2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>
        <v>0</v>
      </c>
      <c r="K279" t="str">
        <f t="shared" si="8"/>
        <v>Young</v>
      </c>
      <c r="L279" t="str">
        <f t="shared" si="9"/>
        <v>Overweight</v>
      </c>
    </row>
    <row r="280" spans="1:12" x14ac:dyDescent="0.2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>
        <v>0</v>
      </c>
      <c r="K280" t="str">
        <f t="shared" si="8"/>
        <v>Senior</v>
      </c>
      <c r="L280" t="str">
        <f t="shared" si="9"/>
        <v>Normal</v>
      </c>
    </row>
    <row r="281" spans="1:12" x14ac:dyDescent="0.2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>
        <v>0</v>
      </c>
      <c r="K281" t="str">
        <f t="shared" si="8"/>
        <v>Young</v>
      </c>
      <c r="L281" t="str">
        <f t="shared" si="9"/>
        <v>Overweight</v>
      </c>
    </row>
    <row r="282" spans="1:12" x14ac:dyDescent="0.2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>
        <v>1</v>
      </c>
      <c r="K282" t="str">
        <f t="shared" si="8"/>
        <v>Young</v>
      </c>
      <c r="L282" t="str">
        <f t="shared" si="9"/>
        <v>Obese</v>
      </c>
    </row>
    <row r="283" spans="1:12" x14ac:dyDescent="0.2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>
        <v>0</v>
      </c>
      <c r="K283" t="str">
        <f t="shared" si="8"/>
        <v>Middle-Aged</v>
      </c>
      <c r="L283" t="str">
        <f t="shared" si="9"/>
        <v>Obese</v>
      </c>
    </row>
    <row r="284" spans="1:12" x14ac:dyDescent="0.2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>
        <v>0</v>
      </c>
      <c r="K284" t="str">
        <f t="shared" si="8"/>
        <v>Middle-Aged</v>
      </c>
      <c r="L284" t="str">
        <f t="shared" si="9"/>
        <v>Obese</v>
      </c>
    </row>
    <row r="285" spans="1:12" x14ac:dyDescent="0.2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>
        <v>1</v>
      </c>
      <c r="K285" t="str">
        <f t="shared" si="8"/>
        <v>Senior</v>
      </c>
      <c r="L285" t="str">
        <f t="shared" si="9"/>
        <v>Obese</v>
      </c>
    </row>
    <row r="286" spans="1:12" x14ac:dyDescent="0.2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>
        <v>1</v>
      </c>
      <c r="K286" t="str">
        <f t="shared" si="8"/>
        <v>Senior</v>
      </c>
      <c r="L286" t="str">
        <f t="shared" si="9"/>
        <v>Overweight</v>
      </c>
    </row>
    <row r="287" spans="1:12" x14ac:dyDescent="0.2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>
        <v>0</v>
      </c>
      <c r="K287" t="str">
        <f t="shared" si="8"/>
        <v>Senior</v>
      </c>
      <c r="L287" t="str">
        <f t="shared" si="9"/>
        <v>Overweight</v>
      </c>
    </row>
    <row r="288" spans="1:12" x14ac:dyDescent="0.2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>
        <v>0</v>
      </c>
      <c r="K288" t="str">
        <f t="shared" si="8"/>
        <v>Middle-Aged</v>
      </c>
      <c r="L288" t="str">
        <f t="shared" si="9"/>
        <v>Obese</v>
      </c>
    </row>
    <row r="289" spans="1:12" x14ac:dyDescent="0.2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>
        <v>1</v>
      </c>
      <c r="K289" t="str">
        <f t="shared" si="8"/>
        <v>Young</v>
      </c>
      <c r="L289" t="str">
        <f t="shared" si="9"/>
        <v>Obese</v>
      </c>
    </row>
    <row r="290" spans="1:12" x14ac:dyDescent="0.2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>
        <v>0</v>
      </c>
      <c r="K290" t="str">
        <f t="shared" si="8"/>
        <v>Young</v>
      </c>
      <c r="L290" t="str">
        <f t="shared" si="9"/>
        <v>Normal</v>
      </c>
    </row>
    <row r="291" spans="1:12" x14ac:dyDescent="0.2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>
        <v>0</v>
      </c>
      <c r="K291" t="str">
        <f t="shared" si="8"/>
        <v>Middle-Aged</v>
      </c>
      <c r="L291" t="str">
        <f t="shared" si="9"/>
        <v>Obese</v>
      </c>
    </row>
    <row r="292" spans="1:12" x14ac:dyDescent="0.2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>
        <v>0</v>
      </c>
      <c r="K292" t="str">
        <f t="shared" si="8"/>
        <v>Young</v>
      </c>
      <c r="L292" t="str">
        <f t="shared" si="9"/>
        <v>Obese</v>
      </c>
    </row>
    <row r="293" spans="1:12" x14ac:dyDescent="0.2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>
        <v>1</v>
      </c>
      <c r="K293" t="str">
        <f t="shared" si="8"/>
        <v>Young</v>
      </c>
      <c r="L293" t="str">
        <f t="shared" si="9"/>
        <v>Obese</v>
      </c>
    </row>
    <row r="294" spans="1:12" x14ac:dyDescent="0.2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>
        <v>1</v>
      </c>
      <c r="K294" t="str">
        <f t="shared" si="8"/>
        <v>Middle-Aged</v>
      </c>
      <c r="L294" t="str">
        <f t="shared" si="9"/>
        <v>Obese</v>
      </c>
    </row>
    <row r="295" spans="1:12" x14ac:dyDescent="0.2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>
        <v>1</v>
      </c>
      <c r="K295" t="str">
        <f t="shared" si="8"/>
        <v>Young</v>
      </c>
      <c r="L295" t="str">
        <f t="shared" si="9"/>
        <v>Obese</v>
      </c>
    </row>
    <row r="296" spans="1:12" x14ac:dyDescent="0.2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>
        <v>0</v>
      </c>
      <c r="K296" t="str">
        <f t="shared" si="8"/>
        <v>Senior</v>
      </c>
      <c r="L296" t="str">
        <f t="shared" si="9"/>
        <v>Normal</v>
      </c>
    </row>
    <row r="297" spans="1:12" x14ac:dyDescent="0.2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>
        <v>0</v>
      </c>
      <c r="K297" t="str">
        <f t="shared" si="8"/>
        <v>Young</v>
      </c>
      <c r="L297" t="str">
        <f t="shared" si="9"/>
        <v>Obese</v>
      </c>
    </row>
    <row r="298" spans="1:12" x14ac:dyDescent="0.2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>
        <v>1</v>
      </c>
      <c r="K298" t="str">
        <f t="shared" si="8"/>
        <v>Young</v>
      </c>
      <c r="L298" t="str">
        <f t="shared" si="9"/>
        <v>Overweight</v>
      </c>
    </row>
    <row r="299" spans="1:12" x14ac:dyDescent="0.2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>
        <v>0</v>
      </c>
      <c r="K299" t="str">
        <f t="shared" si="8"/>
        <v>Young</v>
      </c>
      <c r="L299" t="str">
        <f t="shared" si="9"/>
        <v>Obese</v>
      </c>
    </row>
    <row r="300" spans="1:12" x14ac:dyDescent="0.2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>
        <v>1</v>
      </c>
      <c r="K300" t="str">
        <f t="shared" si="8"/>
        <v>Senior</v>
      </c>
      <c r="L300" t="str">
        <f t="shared" si="9"/>
        <v>Obese</v>
      </c>
    </row>
    <row r="301" spans="1:12" x14ac:dyDescent="0.2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>
        <v>0</v>
      </c>
      <c r="K301" t="str">
        <f t="shared" si="8"/>
        <v>Senior</v>
      </c>
      <c r="L301" t="str">
        <f t="shared" si="9"/>
        <v>Normal</v>
      </c>
    </row>
    <row r="302" spans="1:12" x14ac:dyDescent="0.2">
      <c r="A302">
        <v>301</v>
      </c>
      <c r="B302">
        <v>0</v>
      </c>
      <c r="C302">
        <v>167</v>
      </c>
      <c r="D302">
        <v>121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>
        <v>1</v>
      </c>
      <c r="K302" t="str">
        <f t="shared" si="8"/>
        <v>Middle-Aged</v>
      </c>
      <c r="L302" t="str">
        <f t="shared" si="9"/>
        <v>Obese</v>
      </c>
    </row>
    <row r="303" spans="1:12" x14ac:dyDescent="0.2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>
        <v>1</v>
      </c>
      <c r="K303" t="str">
        <f t="shared" si="8"/>
        <v>Young</v>
      </c>
      <c r="L303" t="str">
        <f t="shared" si="9"/>
        <v>Obese</v>
      </c>
    </row>
    <row r="304" spans="1:12" x14ac:dyDescent="0.2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>
        <v>0</v>
      </c>
      <c r="K304" t="str">
        <f t="shared" si="8"/>
        <v>Middle-Aged</v>
      </c>
      <c r="L304" t="str">
        <f t="shared" si="9"/>
        <v>Obese</v>
      </c>
    </row>
    <row r="305" spans="1:12" x14ac:dyDescent="0.2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>
        <v>1</v>
      </c>
      <c r="K305" t="str">
        <f t="shared" si="8"/>
        <v>Young</v>
      </c>
      <c r="L305" t="str">
        <f t="shared" si="9"/>
        <v>Obese</v>
      </c>
    </row>
    <row r="306" spans="1:12" x14ac:dyDescent="0.2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>
        <v>0</v>
      </c>
      <c r="K306" t="str">
        <f t="shared" si="8"/>
        <v>Middle-Aged</v>
      </c>
      <c r="L306" t="str">
        <f t="shared" si="9"/>
        <v>Normal</v>
      </c>
    </row>
    <row r="307" spans="1:12" x14ac:dyDescent="0.2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>
        <v>0</v>
      </c>
      <c r="K307" t="str">
        <f t="shared" si="8"/>
        <v>Young</v>
      </c>
      <c r="L307" t="str">
        <f t="shared" si="9"/>
        <v>Obese</v>
      </c>
    </row>
    <row r="308" spans="1:12" x14ac:dyDescent="0.2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>
        <v>1</v>
      </c>
      <c r="K308" t="str">
        <f t="shared" si="8"/>
        <v>Senior</v>
      </c>
      <c r="L308" t="str">
        <f t="shared" si="9"/>
        <v>Overweight</v>
      </c>
    </row>
    <row r="309" spans="1:12" x14ac:dyDescent="0.2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>
        <v>0</v>
      </c>
      <c r="K309" t="str">
        <f t="shared" si="8"/>
        <v>Young</v>
      </c>
      <c r="L309" t="str">
        <f t="shared" si="9"/>
        <v>Normal</v>
      </c>
    </row>
    <row r="310" spans="1:12" x14ac:dyDescent="0.2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>
        <v>1</v>
      </c>
      <c r="K310" t="str">
        <f t="shared" si="8"/>
        <v>Young</v>
      </c>
      <c r="L310" t="str">
        <f t="shared" si="9"/>
        <v>Obese</v>
      </c>
    </row>
    <row r="311" spans="1:12" x14ac:dyDescent="0.2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>
        <v>1</v>
      </c>
      <c r="K311" t="str">
        <f t="shared" si="8"/>
        <v>Middle-Aged</v>
      </c>
      <c r="L311" t="str">
        <f t="shared" si="9"/>
        <v>Obese</v>
      </c>
    </row>
    <row r="312" spans="1:12" x14ac:dyDescent="0.2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>
        <v>0</v>
      </c>
      <c r="K312" t="str">
        <f t="shared" si="8"/>
        <v>Middle-Aged</v>
      </c>
      <c r="L312" t="str">
        <f t="shared" si="9"/>
        <v>Overweight</v>
      </c>
    </row>
    <row r="313" spans="1:12" x14ac:dyDescent="0.2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>
        <v>0</v>
      </c>
      <c r="K313" t="str">
        <f t="shared" si="8"/>
        <v>Young</v>
      </c>
      <c r="L313" t="str">
        <f t="shared" si="9"/>
        <v>Obese</v>
      </c>
    </row>
    <row r="314" spans="1:12" x14ac:dyDescent="0.2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>
        <v>1</v>
      </c>
      <c r="K314" t="str">
        <f t="shared" si="8"/>
        <v>Young</v>
      </c>
      <c r="L314" t="str">
        <f t="shared" si="9"/>
        <v>Overweight</v>
      </c>
    </row>
    <row r="315" spans="1:12" x14ac:dyDescent="0.2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>
        <v>0</v>
      </c>
      <c r="K315" t="str">
        <f t="shared" si="8"/>
        <v>Young</v>
      </c>
      <c r="L315" t="str">
        <f t="shared" si="9"/>
        <v>Overweight</v>
      </c>
    </row>
    <row r="316" spans="1:12" x14ac:dyDescent="0.2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>
        <v>1</v>
      </c>
      <c r="K316" t="str">
        <f t="shared" si="8"/>
        <v>Middle-Aged</v>
      </c>
      <c r="L316" t="str">
        <f t="shared" si="9"/>
        <v>Obese</v>
      </c>
    </row>
    <row r="317" spans="1:12" x14ac:dyDescent="0.2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>
        <v>0</v>
      </c>
      <c r="K317" t="str">
        <f t="shared" si="8"/>
        <v>Young</v>
      </c>
      <c r="L317" t="str">
        <f t="shared" si="9"/>
        <v>Obese</v>
      </c>
    </row>
    <row r="318" spans="1:12" x14ac:dyDescent="0.2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>
        <v>0</v>
      </c>
      <c r="K318" t="str">
        <f t="shared" si="8"/>
        <v>Middle-Aged</v>
      </c>
      <c r="L318" t="str">
        <f t="shared" si="9"/>
        <v>Normal</v>
      </c>
    </row>
    <row r="319" spans="1:12" x14ac:dyDescent="0.2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>
        <v>1</v>
      </c>
      <c r="K319" t="str">
        <f t="shared" si="8"/>
        <v>Young</v>
      </c>
      <c r="L319" t="str">
        <f t="shared" si="9"/>
        <v>Obese</v>
      </c>
    </row>
    <row r="320" spans="1:12" x14ac:dyDescent="0.2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>
        <v>0</v>
      </c>
      <c r="K320" t="str">
        <f t="shared" si="8"/>
        <v>Young</v>
      </c>
      <c r="L320" t="str">
        <f t="shared" si="9"/>
        <v>Obese</v>
      </c>
    </row>
    <row r="321" spans="1:12" x14ac:dyDescent="0.2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>
        <v>1</v>
      </c>
      <c r="K321" t="str">
        <f t="shared" si="8"/>
        <v>Senior</v>
      </c>
      <c r="L321" t="str">
        <f t="shared" si="9"/>
        <v>Normal</v>
      </c>
    </row>
    <row r="322" spans="1:12" x14ac:dyDescent="0.2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>
        <v>0</v>
      </c>
      <c r="K322" t="str">
        <f t="shared" si="8"/>
        <v>Middle-Aged</v>
      </c>
      <c r="L322" t="str">
        <f t="shared" si="9"/>
        <v>Overweight</v>
      </c>
    </row>
    <row r="323" spans="1:12" x14ac:dyDescent="0.2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>
        <v>1</v>
      </c>
      <c r="K323" t="str">
        <f t="shared" ref="K323:K386" si="10">IF(I323&lt;30, "Young", IF( I323&lt;45, "Middle-Aged", "Senior"))</f>
        <v>Young</v>
      </c>
      <c r="L323" t="str">
        <f t="shared" ref="L323:L386" si="11">IF(G323&lt;18.5, "Underweight", IF(G323&lt;25, "Normal", IF(G323&lt;30, "Overweight", "Obese")))</f>
        <v>Obese</v>
      </c>
    </row>
    <row r="324" spans="1:12" x14ac:dyDescent="0.2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>
        <v>1</v>
      </c>
      <c r="K324" t="str">
        <f t="shared" si="10"/>
        <v>Middle-Aged</v>
      </c>
      <c r="L324" t="str">
        <f t="shared" si="11"/>
        <v>Overweight</v>
      </c>
    </row>
    <row r="325" spans="1:12" x14ac:dyDescent="0.2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>
        <v>1</v>
      </c>
      <c r="K325" t="str">
        <f t="shared" si="10"/>
        <v>Middle-Aged</v>
      </c>
      <c r="L325" t="str">
        <f t="shared" si="11"/>
        <v>Overweight</v>
      </c>
    </row>
    <row r="326" spans="1:12" x14ac:dyDescent="0.2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>
        <v>0</v>
      </c>
      <c r="K326" t="str">
        <f t="shared" si="10"/>
        <v>Young</v>
      </c>
      <c r="L326" t="str">
        <f t="shared" si="11"/>
        <v>Obese</v>
      </c>
    </row>
    <row r="327" spans="1:12" x14ac:dyDescent="0.2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>
        <v>0</v>
      </c>
      <c r="K327" t="str">
        <f t="shared" si="10"/>
        <v>Young</v>
      </c>
      <c r="L327" t="str">
        <f t="shared" si="11"/>
        <v>Overweight</v>
      </c>
    </row>
    <row r="328" spans="1:12" x14ac:dyDescent="0.2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>
        <v>1</v>
      </c>
      <c r="K328" t="str">
        <f t="shared" si="10"/>
        <v>Middle-Aged</v>
      </c>
      <c r="L328" t="str">
        <f t="shared" si="11"/>
        <v>Obese</v>
      </c>
    </row>
    <row r="329" spans="1:12" x14ac:dyDescent="0.2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>
        <v>0</v>
      </c>
      <c r="K329" t="str">
        <f t="shared" si="10"/>
        <v>Middle-Aged</v>
      </c>
      <c r="L329" t="str">
        <f t="shared" si="11"/>
        <v>Obese</v>
      </c>
    </row>
    <row r="330" spans="1:12" x14ac:dyDescent="0.2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>
        <v>1</v>
      </c>
      <c r="K330" t="str">
        <f t="shared" si="10"/>
        <v>Young</v>
      </c>
      <c r="L330" t="str">
        <f t="shared" si="11"/>
        <v>Obese</v>
      </c>
    </row>
    <row r="331" spans="1:12" x14ac:dyDescent="0.2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>
        <v>0</v>
      </c>
      <c r="K331" t="str">
        <f t="shared" si="10"/>
        <v>Middle-Aged</v>
      </c>
      <c r="L331" t="str">
        <f t="shared" si="11"/>
        <v>Obese</v>
      </c>
    </row>
    <row r="332" spans="1:12" x14ac:dyDescent="0.2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>
        <v>0</v>
      </c>
      <c r="K332" t="str">
        <f t="shared" si="10"/>
        <v>Senior</v>
      </c>
      <c r="L332" t="str">
        <f t="shared" si="11"/>
        <v>Normal</v>
      </c>
    </row>
    <row r="333" spans="1:12" x14ac:dyDescent="0.2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>
        <v>0</v>
      </c>
      <c r="K333" t="str">
        <f t="shared" si="10"/>
        <v>Young</v>
      </c>
      <c r="L333" t="str">
        <f t="shared" si="11"/>
        <v>Obese</v>
      </c>
    </row>
    <row r="334" spans="1:12" x14ac:dyDescent="0.2">
      <c r="A334">
        <v>333</v>
      </c>
      <c r="B334">
        <v>1</v>
      </c>
      <c r="C334">
        <v>180</v>
      </c>
      <c r="D334">
        <v>121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>
        <v>1</v>
      </c>
      <c r="K334" t="str">
        <f t="shared" si="10"/>
        <v>Middle-Aged</v>
      </c>
      <c r="L334" t="str">
        <f t="shared" si="11"/>
        <v>Obese</v>
      </c>
    </row>
    <row r="335" spans="1:12" x14ac:dyDescent="0.2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>
        <v>0</v>
      </c>
      <c r="K335" t="str">
        <f t="shared" si="10"/>
        <v>Middle-Aged</v>
      </c>
      <c r="L335" t="str">
        <f t="shared" si="11"/>
        <v>Normal</v>
      </c>
    </row>
    <row r="336" spans="1:12" x14ac:dyDescent="0.2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>
        <v>0</v>
      </c>
      <c r="K336" t="str">
        <f t="shared" si="10"/>
        <v>Young</v>
      </c>
      <c r="L336" t="str">
        <f t="shared" si="11"/>
        <v>Normal</v>
      </c>
    </row>
    <row r="337" spans="1:12" x14ac:dyDescent="0.2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>
        <v>0</v>
      </c>
      <c r="K337" t="str">
        <f t="shared" si="10"/>
        <v>Young</v>
      </c>
      <c r="L337" t="str">
        <f t="shared" si="11"/>
        <v>Obese</v>
      </c>
    </row>
    <row r="338" spans="1:12" x14ac:dyDescent="0.2">
      <c r="A338">
        <v>337</v>
      </c>
      <c r="B338">
        <v>0</v>
      </c>
      <c r="C338">
        <v>117</v>
      </c>
      <c r="D338">
        <v>121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>
        <v>0</v>
      </c>
      <c r="K338" t="str">
        <f t="shared" si="10"/>
        <v>Middle-Aged</v>
      </c>
      <c r="L338" t="str">
        <f t="shared" si="11"/>
        <v>Obese</v>
      </c>
    </row>
    <row r="339" spans="1:12" x14ac:dyDescent="0.2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>
        <v>1</v>
      </c>
      <c r="K339" t="str">
        <f t="shared" si="10"/>
        <v>Middle-Aged</v>
      </c>
      <c r="L339" t="str">
        <f t="shared" si="11"/>
        <v>Obese</v>
      </c>
    </row>
    <row r="340" spans="1:12" x14ac:dyDescent="0.2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>
        <v>1</v>
      </c>
      <c r="K340" t="str">
        <f t="shared" si="10"/>
        <v>Middle-Aged</v>
      </c>
      <c r="L340" t="str">
        <f t="shared" si="11"/>
        <v>Obese</v>
      </c>
    </row>
    <row r="341" spans="1:12" x14ac:dyDescent="0.2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>
        <v>1</v>
      </c>
      <c r="K341" t="str">
        <f t="shared" si="10"/>
        <v>Middle-Aged</v>
      </c>
      <c r="L341" t="str">
        <f t="shared" si="11"/>
        <v>Obese</v>
      </c>
    </row>
    <row r="342" spans="1:12" x14ac:dyDescent="0.2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>
        <v>0</v>
      </c>
      <c r="K342" t="str">
        <f t="shared" si="10"/>
        <v>Young</v>
      </c>
      <c r="L342" t="str">
        <f t="shared" si="11"/>
        <v>Overweight</v>
      </c>
    </row>
    <row r="343" spans="1:12" x14ac:dyDescent="0.2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>
        <v>0</v>
      </c>
      <c r="K343" t="str">
        <f t="shared" si="10"/>
        <v>Middle-Aged</v>
      </c>
      <c r="L343" t="str">
        <f t="shared" si="11"/>
        <v>Overweight</v>
      </c>
    </row>
    <row r="344" spans="1:12" x14ac:dyDescent="0.2">
      <c r="A344">
        <v>343</v>
      </c>
      <c r="B344">
        <v>1</v>
      </c>
      <c r="C344">
        <v>121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>
        <v>0</v>
      </c>
      <c r="K344" t="str">
        <f t="shared" si="10"/>
        <v>Young</v>
      </c>
      <c r="L344" t="str">
        <f t="shared" si="11"/>
        <v>Obese</v>
      </c>
    </row>
    <row r="345" spans="1:12" x14ac:dyDescent="0.2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>
        <v>0</v>
      </c>
      <c r="K345" t="str">
        <f t="shared" si="10"/>
        <v>Middle-Aged</v>
      </c>
      <c r="L345" t="str">
        <f t="shared" si="11"/>
        <v>Obese</v>
      </c>
    </row>
    <row r="346" spans="1:12" x14ac:dyDescent="0.2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>
        <v>0</v>
      </c>
      <c r="K346" t="str">
        <f t="shared" si="10"/>
        <v>Senior</v>
      </c>
      <c r="L346" t="str">
        <f t="shared" si="11"/>
        <v>Obese</v>
      </c>
    </row>
    <row r="347" spans="1:12" x14ac:dyDescent="0.2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>
        <v>0</v>
      </c>
      <c r="K347" t="str">
        <f t="shared" si="10"/>
        <v>Senior</v>
      </c>
      <c r="L347" t="str">
        <f t="shared" si="11"/>
        <v>Obese</v>
      </c>
    </row>
    <row r="348" spans="1:12" x14ac:dyDescent="0.2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>
        <v>0</v>
      </c>
      <c r="K348" t="str">
        <f t="shared" si="10"/>
        <v>Young</v>
      </c>
      <c r="L348" t="str">
        <f t="shared" si="11"/>
        <v>Overweight</v>
      </c>
    </row>
    <row r="349" spans="1:12" x14ac:dyDescent="0.2">
      <c r="A349">
        <v>348</v>
      </c>
      <c r="B349">
        <v>3</v>
      </c>
      <c r="C349">
        <v>116</v>
      </c>
      <c r="D349">
        <v>121</v>
      </c>
      <c r="E349">
        <v>0</v>
      </c>
      <c r="F349">
        <v>0</v>
      </c>
      <c r="G349">
        <v>23.5</v>
      </c>
      <c r="H349">
        <v>0.187</v>
      </c>
      <c r="I349">
        <v>23</v>
      </c>
      <c r="J349">
        <v>0</v>
      </c>
      <c r="K349" t="str">
        <f t="shared" si="10"/>
        <v>Young</v>
      </c>
      <c r="L349" t="str">
        <f t="shared" si="11"/>
        <v>Normal</v>
      </c>
    </row>
    <row r="350" spans="1:12" x14ac:dyDescent="0.2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>
        <v>0</v>
      </c>
      <c r="K350" t="str">
        <f t="shared" si="10"/>
        <v>Young</v>
      </c>
      <c r="L350" t="str">
        <f t="shared" si="11"/>
        <v>Normal</v>
      </c>
    </row>
    <row r="351" spans="1:12" x14ac:dyDescent="0.2">
      <c r="A351">
        <v>350</v>
      </c>
      <c r="B351">
        <v>5</v>
      </c>
      <c r="C351">
        <v>121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>
        <v>1</v>
      </c>
      <c r="K351" t="str">
        <f t="shared" si="10"/>
        <v>Middle-Aged</v>
      </c>
      <c r="L351" t="str">
        <f t="shared" si="11"/>
        <v>Obese</v>
      </c>
    </row>
    <row r="352" spans="1:12" x14ac:dyDescent="0.2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>
        <v>0</v>
      </c>
      <c r="K352" t="str">
        <f t="shared" si="10"/>
        <v>Young</v>
      </c>
      <c r="L352" t="str">
        <f t="shared" si="11"/>
        <v>Obese</v>
      </c>
    </row>
    <row r="353" spans="1:12" x14ac:dyDescent="0.2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>
        <v>0</v>
      </c>
      <c r="K353" t="str">
        <f t="shared" si="10"/>
        <v>Middle-Aged</v>
      </c>
      <c r="L353" t="str">
        <f t="shared" si="11"/>
        <v>Obese</v>
      </c>
    </row>
    <row r="354" spans="1:12" x14ac:dyDescent="0.2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>
        <v>0</v>
      </c>
      <c r="K354" t="str">
        <f t="shared" si="10"/>
        <v>Senior</v>
      </c>
      <c r="L354" t="str">
        <f t="shared" si="11"/>
        <v>Obese</v>
      </c>
    </row>
    <row r="355" spans="1:12" x14ac:dyDescent="0.2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>
        <v>0</v>
      </c>
      <c r="K355" t="str">
        <f t="shared" si="10"/>
        <v>Young</v>
      </c>
      <c r="L355" t="str">
        <f t="shared" si="11"/>
        <v>Overweight</v>
      </c>
    </row>
    <row r="356" spans="1:12" x14ac:dyDescent="0.2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>
        <v>0</v>
      </c>
      <c r="K356" t="str">
        <f t="shared" si="10"/>
        <v>Young</v>
      </c>
      <c r="L356" t="str">
        <f t="shared" si="11"/>
        <v>Obese</v>
      </c>
    </row>
    <row r="357" spans="1:12" x14ac:dyDescent="0.2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>
        <v>1</v>
      </c>
      <c r="K357" t="str">
        <f t="shared" si="10"/>
        <v>Senior</v>
      </c>
      <c r="L357" t="str">
        <f t="shared" si="11"/>
        <v>Obese</v>
      </c>
    </row>
    <row r="358" spans="1:12" x14ac:dyDescent="0.2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>
        <v>1</v>
      </c>
      <c r="K358" t="str">
        <f t="shared" si="10"/>
        <v>Young</v>
      </c>
      <c r="L358" t="str">
        <f t="shared" si="11"/>
        <v>Obese</v>
      </c>
    </row>
    <row r="359" spans="1:12" x14ac:dyDescent="0.2">
      <c r="A359">
        <v>358</v>
      </c>
      <c r="B359">
        <v>13</v>
      </c>
      <c r="C359">
        <v>129</v>
      </c>
      <c r="D359">
        <v>121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>
        <v>1</v>
      </c>
      <c r="K359" t="str">
        <f t="shared" si="10"/>
        <v>Middle-Aged</v>
      </c>
      <c r="L359" t="str">
        <f t="shared" si="11"/>
        <v>Obese</v>
      </c>
    </row>
    <row r="360" spans="1:12" x14ac:dyDescent="0.2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>
        <v>0</v>
      </c>
      <c r="K360" t="str">
        <f t="shared" si="10"/>
        <v>Senior</v>
      </c>
      <c r="L360" t="str">
        <f t="shared" si="11"/>
        <v>Obese</v>
      </c>
    </row>
    <row r="361" spans="1:12" x14ac:dyDescent="0.2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>
        <v>1</v>
      </c>
      <c r="K361" t="str">
        <f t="shared" si="10"/>
        <v>Young</v>
      </c>
      <c r="L361" t="str">
        <f t="shared" si="11"/>
        <v>Obese</v>
      </c>
    </row>
    <row r="362" spans="1:12" x14ac:dyDescent="0.2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>
        <v>1</v>
      </c>
      <c r="K362" t="str">
        <f t="shared" si="10"/>
        <v>Young</v>
      </c>
      <c r="L362" t="str">
        <f t="shared" si="11"/>
        <v>Obese</v>
      </c>
    </row>
    <row r="363" spans="1:12" x14ac:dyDescent="0.2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>
        <v>0</v>
      </c>
      <c r="K363" t="str">
        <f t="shared" si="10"/>
        <v>Senior</v>
      </c>
      <c r="L363" t="str">
        <f t="shared" si="11"/>
        <v>Overweight</v>
      </c>
    </row>
    <row r="364" spans="1:12" x14ac:dyDescent="0.2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>
        <v>0</v>
      </c>
      <c r="K364" t="str">
        <f t="shared" si="10"/>
        <v>Senior</v>
      </c>
      <c r="L364" t="str">
        <f t="shared" si="11"/>
        <v>Obese</v>
      </c>
    </row>
    <row r="365" spans="1:12" x14ac:dyDescent="0.2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>
        <v>1</v>
      </c>
      <c r="K365" t="str">
        <f t="shared" si="10"/>
        <v>Senior</v>
      </c>
      <c r="L365" t="str">
        <f t="shared" si="11"/>
        <v>Obese</v>
      </c>
    </row>
    <row r="366" spans="1:12" x14ac:dyDescent="0.2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>
        <v>0</v>
      </c>
      <c r="K366" t="str">
        <f t="shared" si="10"/>
        <v>Middle-Aged</v>
      </c>
      <c r="L366" t="str">
        <f t="shared" si="11"/>
        <v>Obese</v>
      </c>
    </row>
    <row r="367" spans="1:12" x14ac:dyDescent="0.2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>
        <v>0</v>
      </c>
      <c r="K367" t="str">
        <f t="shared" si="10"/>
        <v>Middle-Aged</v>
      </c>
      <c r="L367" t="str">
        <f t="shared" si="11"/>
        <v>Obese</v>
      </c>
    </row>
    <row r="368" spans="1:12" x14ac:dyDescent="0.2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>
        <v>1</v>
      </c>
      <c r="K368" t="str">
        <f t="shared" si="10"/>
        <v>Young</v>
      </c>
      <c r="L368" t="str">
        <f t="shared" si="11"/>
        <v>Overweight</v>
      </c>
    </row>
    <row r="369" spans="1:12" x14ac:dyDescent="0.2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>
        <v>0</v>
      </c>
      <c r="K369" t="str">
        <f t="shared" si="10"/>
        <v>Young</v>
      </c>
      <c r="L369" t="str">
        <f t="shared" si="11"/>
        <v>Normal</v>
      </c>
    </row>
    <row r="370" spans="1:12" x14ac:dyDescent="0.2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>
        <v>0</v>
      </c>
      <c r="K370" t="str">
        <f t="shared" si="10"/>
        <v>Young</v>
      </c>
      <c r="L370" t="str">
        <f t="shared" si="11"/>
        <v>Overweight</v>
      </c>
    </row>
    <row r="371" spans="1:12" x14ac:dyDescent="0.2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>
        <v>1</v>
      </c>
      <c r="K371" t="str">
        <f t="shared" si="10"/>
        <v>Senior</v>
      </c>
      <c r="L371" t="str">
        <f t="shared" si="11"/>
        <v>Obese</v>
      </c>
    </row>
    <row r="372" spans="1:12" x14ac:dyDescent="0.2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>
        <v>1</v>
      </c>
      <c r="K372" t="str">
        <f t="shared" si="10"/>
        <v>Young</v>
      </c>
      <c r="L372" t="str">
        <f t="shared" si="11"/>
        <v>Obese</v>
      </c>
    </row>
    <row r="373" spans="1:12" x14ac:dyDescent="0.2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121</v>
      </c>
      <c r="H373">
        <v>1.7310000000000001</v>
      </c>
      <c r="I373">
        <v>21</v>
      </c>
      <c r="J373">
        <v>0</v>
      </c>
      <c r="K373" t="str">
        <f t="shared" si="10"/>
        <v>Young</v>
      </c>
      <c r="L373" t="str">
        <f t="shared" si="11"/>
        <v>Obese</v>
      </c>
    </row>
    <row r="374" spans="1:12" x14ac:dyDescent="0.2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>
        <v>0</v>
      </c>
      <c r="K374" t="str">
        <f t="shared" si="10"/>
        <v>Young</v>
      </c>
      <c r="L374" t="str">
        <f t="shared" si="11"/>
        <v>Obese</v>
      </c>
    </row>
    <row r="375" spans="1:12" x14ac:dyDescent="0.2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>
        <v>0</v>
      </c>
      <c r="K375" t="str">
        <f t="shared" si="10"/>
        <v>Young</v>
      </c>
      <c r="L375" t="str">
        <f t="shared" si="11"/>
        <v>Obese</v>
      </c>
    </row>
    <row r="376" spans="1:12" x14ac:dyDescent="0.2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>
        <v>0</v>
      </c>
      <c r="K376" t="str">
        <f t="shared" si="10"/>
        <v>Young</v>
      </c>
      <c r="L376" t="str">
        <f t="shared" si="11"/>
        <v>Obese</v>
      </c>
    </row>
    <row r="377" spans="1:12" x14ac:dyDescent="0.2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>
        <v>1</v>
      </c>
      <c r="K377" t="str">
        <f t="shared" si="10"/>
        <v>Senior</v>
      </c>
      <c r="L377" t="str">
        <f t="shared" si="11"/>
        <v>Obese</v>
      </c>
    </row>
    <row r="378" spans="1:12" x14ac:dyDescent="0.2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>
        <v>0</v>
      </c>
      <c r="K378" t="str">
        <f t="shared" si="10"/>
        <v>Young</v>
      </c>
      <c r="L378" t="str">
        <f t="shared" si="11"/>
        <v>Overweight</v>
      </c>
    </row>
    <row r="379" spans="1:12" x14ac:dyDescent="0.2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>
        <v>0</v>
      </c>
      <c r="K379" t="str">
        <f t="shared" si="10"/>
        <v>Young</v>
      </c>
      <c r="L379" t="str">
        <f t="shared" si="11"/>
        <v>Obese</v>
      </c>
    </row>
    <row r="380" spans="1:12" x14ac:dyDescent="0.2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>
        <v>1</v>
      </c>
      <c r="K380" t="str">
        <f t="shared" si="10"/>
        <v>Middle-Aged</v>
      </c>
      <c r="L380" t="str">
        <f t="shared" si="11"/>
        <v>Obese</v>
      </c>
    </row>
    <row r="381" spans="1:12" x14ac:dyDescent="0.2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>
        <v>0</v>
      </c>
      <c r="K381" t="str">
        <f t="shared" si="10"/>
        <v>Middle-Aged</v>
      </c>
      <c r="L381" t="str">
        <f t="shared" si="11"/>
        <v>Obese</v>
      </c>
    </row>
    <row r="382" spans="1:12" x14ac:dyDescent="0.2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>
        <v>0</v>
      </c>
      <c r="K382" t="str">
        <f t="shared" si="10"/>
        <v>Young</v>
      </c>
      <c r="L382" t="str">
        <f t="shared" si="11"/>
        <v>Obese</v>
      </c>
    </row>
    <row r="383" spans="1:12" x14ac:dyDescent="0.2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>
        <v>0</v>
      </c>
      <c r="K383" t="str">
        <f t="shared" si="10"/>
        <v>Young</v>
      </c>
      <c r="L383" t="str">
        <f t="shared" si="11"/>
        <v>Normal</v>
      </c>
    </row>
    <row r="384" spans="1:12" x14ac:dyDescent="0.2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>
        <v>0</v>
      </c>
      <c r="K384" t="str">
        <f t="shared" si="10"/>
        <v>Young</v>
      </c>
      <c r="L384" t="str">
        <f t="shared" si="11"/>
        <v>Overweight</v>
      </c>
    </row>
    <row r="385" spans="1:12" x14ac:dyDescent="0.2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>
        <v>0</v>
      </c>
      <c r="K385" t="str">
        <f t="shared" si="10"/>
        <v>Young</v>
      </c>
      <c r="L385" t="str">
        <f t="shared" si="11"/>
        <v>Overweight</v>
      </c>
    </row>
    <row r="386" spans="1:12" x14ac:dyDescent="0.2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>
        <v>0</v>
      </c>
      <c r="K386" t="str">
        <f t="shared" si="10"/>
        <v>Young</v>
      </c>
      <c r="L386" t="str">
        <f t="shared" si="11"/>
        <v>Normal</v>
      </c>
    </row>
    <row r="387" spans="1:12" x14ac:dyDescent="0.2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>
        <v>0</v>
      </c>
      <c r="K387" t="str">
        <f t="shared" ref="K387:K450" si="12">IF(I387&lt;30, "Young", IF( I387&lt;45, "Middle-Aged", "Senior"))</f>
        <v>Young</v>
      </c>
      <c r="L387" t="str">
        <f t="shared" ref="L387:L450" si="13">IF(G387&lt;18.5, "Underweight", IF(G387&lt;25, "Normal", IF(G387&lt;30, "Overweight", "Obese")))</f>
        <v>Normal</v>
      </c>
    </row>
    <row r="388" spans="1:12" x14ac:dyDescent="0.2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>
        <v>1</v>
      </c>
      <c r="K388" t="str">
        <f t="shared" si="12"/>
        <v>Middle-Aged</v>
      </c>
      <c r="L388" t="str">
        <f t="shared" si="13"/>
        <v>Obese</v>
      </c>
    </row>
    <row r="389" spans="1:12" x14ac:dyDescent="0.2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>
        <v>1</v>
      </c>
      <c r="K389" t="str">
        <f t="shared" si="12"/>
        <v>Senior</v>
      </c>
      <c r="L389" t="str">
        <f t="shared" si="13"/>
        <v>Obese</v>
      </c>
    </row>
    <row r="390" spans="1:12" x14ac:dyDescent="0.2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>
        <v>1</v>
      </c>
      <c r="K390" t="str">
        <f t="shared" si="12"/>
        <v>Senior</v>
      </c>
      <c r="L390" t="str">
        <f t="shared" si="13"/>
        <v>Obese</v>
      </c>
    </row>
    <row r="391" spans="1:12" x14ac:dyDescent="0.2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>
        <v>0</v>
      </c>
      <c r="K391" t="str">
        <f t="shared" si="12"/>
        <v>Young</v>
      </c>
      <c r="L391" t="str">
        <f t="shared" si="13"/>
        <v>Obese</v>
      </c>
    </row>
    <row r="392" spans="1:12" x14ac:dyDescent="0.2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>
        <v>0</v>
      </c>
      <c r="K392" t="str">
        <f t="shared" si="12"/>
        <v>Middle-Aged</v>
      </c>
      <c r="L392" t="str">
        <f t="shared" si="13"/>
        <v>Obese</v>
      </c>
    </row>
    <row r="393" spans="1:12" x14ac:dyDescent="0.2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>
        <v>1</v>
      </c>
      <c r="K393" t="str">
        <f t="shared" si="12"/>
        <v>Young</v>
      </c>
      <c r="L393" t="str">
        <f t="shared" si="13"/>
        <v>Obese</v>
      </c>
    </row>
    <row r="394" spans="1:12" x14ac:dyDescent="0.2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>
        <v>0</v>
      </c>
      <c r="K394" t="str">
        <f t="shared" si="12"/>
        <v>Young</v>
      </c>
      <c r="L394" t="str">
        <f t="shared" si="13"/>
        <v>Normal</v>
      </c>
    </row>
    <row r="395" spans="1:12" x14ac:dyDescent="0.2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>
        <v>0</v>
      </c>
      <c r="K395" t="str">
        <f t="shared" si="12"/>
        <v>Middle-Aged</v>
      </c>
      <c r="L395" t="str">
        <f t="shared" si="13"/>
        <v>Normal</v>
      </c>
    </row>
    <row r="396" spans="1:12" x14ac:dyDescent="0.2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>
        <v>1</v>
      </c>
      <c r="K396" t="str">
        <f t="shared" si="12"/>
        <v>Middle-Aged</v>
      </c>
      <c r="L396" t="str">
        <f t="shared" si="13"/>
        <v>Obese</v>
      </c>
    </row>
    <row r="397" spans="1:12" x14ac:dyDescent="0.2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>
        <v>0</v>
      </c>
      <c r="K397" t="str">
        <f t="shared" si="12"/>
        <v>Young</v>
      </c>
      <c r="L397" t="str">
        <f t="shared" si="13"/>
        <v>Overweight</v>
      </c>
    </row>
    <row r="398" spans="1:12" x14ac:dyDescent="0.2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>
        <v>0</v>
      </c>
      <c r="K398" t="str">
        <f t="shared" si="12"/>
        <v>Middle-Aged</v>
      </c>
      <c r="L398" t="str">
        <f t="shared" si="13"/>
        <v>Normal</v>
      </c>
    </row>
    <row r="399" spans="1:12" x14ac:dyDescent="0.2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>
        <v>1</v>
      </c>
      <c r="K399" t="str">
        <f t="shared" si="12"/>
        <v>Young</v>
      </c>
      <c r="L399" t="str">
        <f t="shared" si="13"/>
        <v>Obese</v>
      </c>
    </row>
    <row r="400" spans="1:12" x14ac:dyDescent="0.2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>
        <v>0</v>
      </c>
      <c r="K400" t="str">
        <f t="shared" si="12"/>
        <v>Young</v>
      </c>
      <c r="L400" t="str">
        <f t="shared" si="13"/>
        <v>Normal</v>
      </c>
    </row>
    <row r="401" spans="1:12" x14ac:dyDescent="0.2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>
        <v>1</v>
      </c>
      <c r="K401" t="str">
        <f t="shared" si="12"/>
        <v>Young</v>
      </c>
      <c r="L401" t="str">
        <f t="shared" si="13"/>
        <v>Obese</v>
      </c>
    </row>
    <row r="402" spans="1:12" x14ac:dyDescent="0.2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>
        <v>1</v>
      </c>
      <c r="K402" t="str">
        <f t="shared" si="12"/>
        <v>Middle-Aged</v>
      </c>
      <c r="L402" t="str">
        <f t="shared" si="13"/>
        <v>Obese</v>
      </c>
    </row>
    <row r="403" spans="1:12" x14ac:dyDescent="0.2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>
        <v>0</v>
      </c>
      <c r="K403" t="str">
        <f t="shared" si="12"/>
        <v>Senior</v>
      </c>
      <c r="L403" t="str">
        <f t="shared" si="13"/>
        <v>Normal</v>
      </c>
    </row>
    <row r="404" spans="1:12" x14ac:dyDescent="0.2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>
        <v>1</v>
      </c>
      <c r="K404" t="str">
        <f t="shared" si="12"/>
        <v>Middle-Aged</v>
      </c>
      <c r="L404" t="str">
        <f t="shared" si="13"/>
        <v>Obese</v>
      </c>
    </row>
    <row r="405" spans="1:12" x14ac:dyDescent="0.2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>
        <v>0</v>
      </c>
      <c r="K405" t="str">
        <f t="shared" si="12"/>
        <v>Middle-Aged</v>
      </c>
      <c r="L405" t="str">
        <f t="shared" si="13"/>
        <v>Obese</v>
      </c>
    </row>
    <row r="406" spans="1:12" x14ac:dyDescent="0.2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>
        <v>1</v>
      </c>
      <c r="K406" t="str">
        <f t="shared" si="12"/>
        <v>Middle-Aged</v>
      </c>
      <c r="L406" t="str">
        <f t="shared" si="13"/>
        <v>Obese</v>
      </c>
    </row>
    <row r="407" spans="1:12" x14ac:dyDescent="0.2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>
        <v>0</v>
      </c>
      <c r="K407" t="str">
        <f t="shared" si="12"/>
        <v>Young</v>
      </c>
      <c r="L407" t="str">
        <f t="shared" si="13"/>
        <v>Obese</v>
      </c>
    </row>
    <row r="408" spans="1:12" x14ac:dyDescent="0.2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>
        <v>1</v>
      </c>
      <c r="K408" t="str">
        <f t="shared" si="12"/>
        <v>Senior</v>
      </c>
      <c r="L408" t="str">
        <f t="shared" si="13"/>
        <v>Overweight</v>
      </c>
    </row>
    <row r="409" spans="1:12" x14ac:dyDescent="0.2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>
        <v>0</v>
      </c>
      <c r="K409" t="str">
        <f t="shared" si="12"/>
        <v>Young</v>
      </c>
      <c r="L409" t="str">
        <f t="shared" si="13"/>
        <v>Normal</v>
      </c>
    </row>
    <row r="410" spans="1:12" x14ac:dyDescent="0.2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>
        <v>1</v>
      </c>
      <c r="K410" t="str">
        <f t="shared" si="12"/>
        <v>Middle-Aged</v>
      </c>
      <c r="L410" t="str">
        <f t="shared" si="13"/>
        <v>Overweight</v>
      </c>
    </row>
    <row r="411" spans="1:12" x14ac:dyDescent="0.2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>
        <v>1</v>
      </c>
      <c r="K411" t="str">
        <f t="shared" si="12"/>
        <v>Young</v>
      </c>
      <c r="L411" t="str">
        <f t="shared" si="13"/>
        <v>Obese</v>
      </c>
    </row>
    <row r="412" spans="1:12" x14ac:dyDescent="0.2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>
        <v>0</v>
      </c>
      <c r="K412" t="str">
        <f t="shared" si="12"/>
        <v>Young</v>
      </c>
      <c r="L412" t="str">
        <f t="shared" si="13"/>
        <v>Obese</v>
      </c>
    </row>
    <row r="413" spans="1:12" x14ac:dyDescent="0.2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>
        <v>0</v>
      </c>
      <c r="K413" t="str">
        <f t="shared" si="12"/>
        <v>Young</v>
      </c>
      <c r="L413" t="str">
        <f t="shared" si="13"/>
        <v>Obese</v>
      </c>
    </row>
    <row r="414" spans="1:12" x14ac:dyDescent="0.2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>
        <v>0</v>
      </c>
      <c r="K414" t="str">
        <f t="shared" si="12"/>
        <v>Young</v>
      </c>
      <c r="L414" t="str">
        <f t="shared" si="13"/>
        <v>Obese</v>
      </c>
    </row>
    <row r="415" spans="1:12" x14ac:dyDescent="0.2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>
        <v>0</v>
      </c>
      <c r="K415" t="str">
        <f t="shared" si="12"/>
        <v>Young</v>
      </c>
      <c r="L415" t="str">
        <f t="shared" si="13"/>
        <v>Overweight</v>
      </c>
    </row>
    <row r="416" spans="1:12" x14ac:dyDescent="0.2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>
        <v>1</v>
      </c>
      <c r="K416" t="str">
        <f t="shared" si="12"/>
        <v>Young</v>
      </c>
      <c r="L416" t="str">
        <f t="shared" si="13"/>
        <v>Obese</v>
      </c>
    </row>
    <row r="417" spans="1:12" x14ac:dyDescent="0.2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>
        <v>1</v>
      </c>
      <c r="K417" t="str">
        <f t="shared" si="12"/>
        <v>Young</v>
      </c>
      <c r="L417" t="str">
        <f t="shared" si="13"/>
        <v>Obese</v>
      </c>
    </row>
    <row r="418" spans="1:12" x14ac:dyDescent="0.2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>
        <v>0</v>
      </c>
      <c r="K418" t="str">
        <f t="shared" si="12"/>
        <v>Young</v>
      </c>
      <c r="L418" t="str">
        <f t="shared" si="13"/>
        <v>Overweight</v>
      </c>
    </row>
    <row r="419" spans="1:12" x14ac:dyDescent="0.2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>
        <v>1</v>
      </c>
      <c r="K419" t="str">
        <f t="shared" si="12"/>
        <v>Middle-Aged</v>
      </c>
      <c r="L419" t="str">
        <f t="shared" si="13"/>
        <v>Obese</v>
      </c>
    </row>
    <row r="420" spans="1:12" x14ac:dyDescent="0.2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>
        <v>0</v>
      </c>
      <c r="K420" t="str">
        <f t="shared" si="12"/>
        <v>Young</v>
      </c>
      <c r="L420" t="str">
        <f t="shared" si="13"/>
        <v>Underweight</v>
      </c>
    </row>
    <row r="421" spans="1:12" x14ac:dyDescent="0.2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>
        <v>1</v>
      </c>
      <c r="K421" t="str">
        <f t="shared" si="12"/>
        <v>Young</v>
      </c>
      <c r="L421" t="str">
        <f t="shared" si="13"/>
        <v>Overweight</v>
      </c>
    </row>
    <row r="422" spans="1:12" x14ac:dyDescent="0.2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>
        <v>0</v>
      </c>
      <c r="K422" t="str">
        <f t="shared" si="12"/>
        <v>Young</v>
      </c>
      <c r="L422" t="str">
        <f t="shared" si="13"/>
        <v>Obese</v>
      </c>
    </row>
    <row r="423" spans="1:12" x14ac:dyDescent="0.2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>
        <v>0</v>
      </c>
      <c r="K423" t="str">
        <f t="shared" si="12"/>
        <v>Young</v>
      </c>
      <c r="L423" t="str">
        <f t="shared" si="13"/>
        <v>Overweight</v>
      </c>
    </row>
    <row r="424" spans="1:12" x14ac:dyDescent="0.2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>
        <v>0</v>
      </c>
      <c r="K424" t="str">
        <f t="shared" si="12"/>
        <v>Young</v>
      </c>
      <c r="L424" t="str">
        <f t="shared" si="13"/>
        <v>Obese</v>
      </c>
    </row>
    <row r="425" spans="1:12" x14ac:dyDescent="0.2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>
        <v>0</v>
      </c>
      <c r="K425" t="str">
        <f t="shared" si="12"/>
        <v>Young</v>
      </c>
      <c r="L425" t="str">
        <f t="shared" si="13"/>
        <v>Obese</v>
      </c>
    </row>
    <row r="426" spans="1:12" x14ac:dyDescent="0.2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>
        <v>1</v>
      </c>
      <c r="K426" t="str">
        <f t="shared" si="12"/>
        <v>Middle-Aged</v>
      </c>
      <c r="L426" t="str">
        <f t="shared" si="13"/>
        <v>Obese</v>
      </c>
    </row>
    <row r="427" spans="1:12" x14ac:dyDescent="0.2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>
        <v>1</v>
      </c>
      <c r="K427" t="str">
        <f t="shared" si="12"/>
        <v>Middle-Aged</v>
      </c>
      <c r="L427" t="str">
        <f t="shared" si="13"/>
        <v>Obese</v>
      </c>
    </row>
    <row r="428" spans="1:12" x14ac:dyDescent="0.2">
      <c r="A428">
        <v>427</v>
      </c>
      <c r="B428">
        <v>0</v>
      </c>
      <c r="C428">
        <v>94</v>
      </c>
      <c r="D428">
        <v>121</v>
      </c>
      <c r="E428">
        <v>0</v>
      </c>
      <c r="F428">
        <v>0</v>
      </c>
      <c r="G428">
        <v>121</v>
      </c>
      <c r="H428">
        <v>0.25600000000000001</v>
      </c>
      <c r="I428">
        <v>25</v>
      </c>
      <c r="J428">
        <v>0</v>
      </c>
      <c r="K428" t="str">
        <f t="shared" si="12"/>
        <v>Young</v>
      </c>
      <c r="L428" t="str">
        <f t="shared" si="13"/>
        <v>Obese</v>
      </c>
    </row>
    <row r="429" spans="1:12" x14ac:dyDescent="0.2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>
        <v>1</v>
      </c>
      <c r="K429" t="str">
        <f t="shared" si="12"/>
        <v>Middle-Aged</v>
      </c>
      <c r="L429" t="str">
        <f t="shared" si="13"/>
        <v>Obese</v>
      </c>
    </row>
    <row r="430" spans="1:12" x14ac:dyDescent="0.2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>
        <v>0</v>
      </c>
      <c r="K430" t="str">
        <f t="shared" si="12"/>
        <v>Young</v>
      </c>
      <c r="L430" t="str">
        <f t="shared" si="13"/>
        <v>Obese</v>
      </c>
    </row>
    <row r="431" spans="1:12" x14ac:dyDescent="0.2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>
        <v>1</v>
      </c>
      <c r="K431" t="str">
        <f t="shared" si="12"/>
        <v>Middle-Aged</v>
      </c>
      <c r="L431" t="str">
        <f t="shared" si="13"/>
        <v>Obese</v>
      </c>
    </row>
    <row r="432" spans="1:12" x14ac:dyDescent="0.2">
      <c r="A432">
        <v>431</v>
      </c>
      <c r="B432">
        <v>2</v>
      </c>
      <c r="C432">
        <v>99</v>
      </c>
      <c r="D432">
        <v>121</v>
      </c>
      <c r="E432">
        <v>0</v>
      </c>
      <c r="F432">
        <v>0</v>
      </c>
      <c r="G432">
        <v>22.2</v>
      </c>
      <c r="H432">
        <v>0.108</v>
      </c>
      <c r="I432">
        <v>23</v>
      </c>
      <c r="J432">
        <v>0</v>
      </c>
      <c r="K432" t="str">
        <f t="shared" si="12"/>
        <v>Young</v>
      </c>
      <c r="L432" t="str">
        <f t="shared" si="13"/>
        <v>Normal</v>
      </c>
    </row>
    <row r="433" spans="1:12" x14ac:dyDescent="0.2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>
        <v>0</v>
      </c>
      <c r="K433" t="str">
        <f t="shared" si="12"/>
        <v>Middle-Aged</v>
      </c>
      <c r="L433" t="str">
        <f t="shared" si="13"/>
        <v>Obese</v>
      </c>
    </row>
    <row r="434" spans="1:12" x14ac:dyDescent="0.2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>
        <v>0</v>
      </c>
      <c r="K434" t="str">
        <f t="shared" si="12"/>
        <v>Young</v>
      </c>
      <c r="L434" t="str">
        <f t="shared" si="13"/>
        <v>Obese</v>
      </c>
    </row>
    <row r="435" spans="1:12" x14ac:dyDescent="0.2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>
        <v>0</v>
      </c>
      <c r="K435" t="str">
        <f t="shared" si="12"/>
        <v>Young</v>
      </c>
      <c r="L435" t="str">
        <f t="shared" si="13"/>
        <v>Overweight</v>
      </c>
    </row>
    <row r="436" spans="1:12" x14ac:dyDescent="0.2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>
        <v>0</v>
      </c>
      <c r="K436" t="str">
        <f t="shared" si="12"/>
        <v>Middle-Aged</v>
      </c>
      <c r="L436" t="str">
        <f t="shared" si="13"/>
        <v>Normal</v>
      </c>
    </row>
    <row r="437" spans="1:12" x14ac:dyDescent="0.2">
      <c r="A437">
        <v>436</v>
      </c>
      <c r="B437">
        <v>0</v>
      </c>
      <c r="C437">
        <v>141</v>
      </c>
      <c r="D437">
        <v>121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>
        <v>1</v>
      </c>
      <c r="K437" t="str">
        <f t="shared" si="12"/>
        <v>Young</v>
      </c>
      <c r="L437" t="str">
        <f t="shared" si="13"/>
        <v>Obese</v>
      </c>
    </row>
    <row r="438" spans="1:12" x14ac:dyDescent="0.2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>
        <v>0</v>
      </c>
      <c r="K438" t="str">
        <f t="shared" si="12"/>
        <v>Middle-Aged</v>
      </c>
      <c r="L438" t="str">
        <f t="shared" si="13"/>
        <v>Obese</v>
      </c>
    </row>
    <row r="439" spans="1:12" x14ac:dyDescent="0.2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>
        <v>0</v>
      </c>
      <c r="K439" t="str">
        <f t="shared" si="12"/>
        <v>Young</v>
      </c>
      <c r="L439" t="str">
        <f t="shared" si="13"/>
        <v>Overweight</v>
      </c>
    </row>
    <row r="440" spans="1:12" x14ac:dyDescent="0.2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>
        <v>0</v>
      </c>
      <c r="K440" t="str">
        <f t="shared" si="12"/>
        <v>Young</v>
      </c>
      <c r="L440" t="str">
        <f t="shared" si="13"/>
        <v>Underweight</v>
      </c>
    </row>
    <row r="441" spans="1:12" x14ac:dyDescent="0.2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>
        <v>0</v>
      </c>
      <c r="K441" t="str">
        <f t="shared" si="12"/>
        <v>Middle-Aged</v>
      </c>
      <c r="L441" t="str">
        <f t="shared" si="13"/>
        <v>Obese</v>
      </c>
    </row>
    <row r="442" spans="1:12" x14ac:dyDescent="0.2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>
        <v>1</v>
      </c>
      <c r="K442" t="str">
        <f t="shared" si="12"/>
        <v>Middle-Aged</v>
      </c>
      <c r="L442" t="str">
        <f t="shared" si="13"/>
        <v>Obese</v>
      </c>
    </row>
    <row r="443" spans="1:12" x14ac:dyDescent="0.2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>
        <v>0</v>
      </c>
      <c r="K443" t="str">
        <f t="shared" si="12"/>
        <v>Young</v>
      </c>
      <c r="L443" t="str">
        <f t="shared" si="13"/>
        <v>Obese</v>
      </c>
    </row>
    <row r="444" spans="1:12" x14ac:dyDescent="0.2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>
        <v>0</v>
      </c>
      <c r="K444" t="str">
        <f t="shared" si="12"/>
        <v>Young</v>
      </c>
      <c r="L444" t="str">
        <f t="shared" si="13"/>
        <v>Obese</v>
      </c>
    </row>
    <row r="445" spans="1:12" x14ac:dyDescent="0.2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>
        <v>1</v>
      </c>
      <c r="K445" t="str">
        <f t="shared" si="12"/>
        <v>Middle-Aged</v>
      </c>
      <c r="L445" t="str">
        <f t="shared" si="13"/>
        <v>Obese</v>
      </c>
    </row>
    <row r="446" spans="1:12" x14ac:dyDescent="0.2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>
        <v>1</v>
      </c>
      <c r="K446" t="str">
        <f t="shared" si="12"/>
        <v>Middle-Aged</v>
      </c>
      <c r="L446" t="str">
        <f t="shared" si="13"/>
        <v>Overweight</v>
      </c>
    </row>
    <row r="447" spans="1:12" x14ac:dyDescent="0.2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>
        <v>1</v>
      </c>
      <c r="K447" t="str">
        <f t="shared" si="12"/>
        <v>Young</v>
      </c>
      <c r="L447" t="str">
        <f t="shared" si="13"/>
        <v>Obese</v>
      </c>
    </row>
    <row r="448" spans="1:12" x14ac:dyDescent="0.2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>
        <v>0</v>
      </c>
      <c r="K448" t="str">
        <f t="shared" si="12"/>
        <v>Young</v>
      </c>
      <c r="L448" t="str">
        <f t="shared" si="13"/>
        <v>Overweight</v>
      </c>
    </row>
    <row r="449" spans="1:12" x14ac:dyDescent="0.2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>
        <v>0</v>
      </c>
      <c r="K449" t="str">
        <f t="shared" si="12"/>
        <v>Young</v>
      </c>
      <c r="L449" t="str">
        <f t="shared" si="13"/>
        <v>Obese</v>
      </c>
    </row>
    <row r="450" spans="1:12" x14ac:dyDescent="0.2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>
        <v>1</v>
      </c>
      <c r="K450" t="str">
        <f t="shared" si="12"/>
        <v>Young</v>
      </c>
      <c r="L450" t="str">
        <f t="shared" si="13"/>
        <v>Obese</v>
      </c>
    </row>
    <row r="451" spans="1:12" x14ac:dyDescent="0.2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>
        <v>0</v>
      </c>
      <c r="K451" t="str">
        <f t="shared" ref="K451:K514" si="14">IF(I451&lt;30, "Young", IF( I451&lt;45, "Middle-Aged", "Senior"))</f>
        <v>Young</v>
      </c>
      <c r="L451" t="str">
        <f t="shared" ref="L451:L514" si="15">IF(G451&lt;18.5, "Underweight", IF(G451&lt;25, "Normal", IF(G451&lt;30, "Overweight", "Obese")))</f>
        <v>Obese</v>
      </c>
    </row>
    <row r="452" spans="1:12" x14ac:dyDescent="0.2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>
        <v>0</v>
      </c>
      <c r="K452" t="str">
        <f t="shared" si="14"/>
        <v>Young</v>
      </c>
      <c r="L452" t="str">
        <f t="shared" si="15"/>
        <v>Normal</v>
      </c>
    </row>
    <row r="453" spans="1:12" x14ac:dyDescent="0.2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>
        <v>1</v>
      </c>
      <c r="K453" t="str">
        <f t="shared" si="14"/>
        <v>Young</v>
      </c>
      <c r="L453" t="str">
        <f t="shared" si="15"/>
        <v>Overweight</v>
      </c>
    </row>
    <row r="454" spans="1:12" x14ac:dyDescent="0.2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>
        <v>0</v>
      </c>
      <c r="K454" t="str">
        <f t="shared" si="14"/>
        <v>Young</v>
      </c>
      <c r="L454" t="str">
        <f t="shared" si="15"/>
        <v>Obese</v>
      </c>
    </row>
    <row r="455" spans="1:12" x14ac:dyDescent="0.2">
      <c r="A455">
        <v>454</v>
      </c>
      <c r="B455">
        <v>2</v>
      </c>
      <c r="C455">
        <v>119</v>
      </c>
      <c r="D455">
        <v>121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>
        <v>0</v>
      </c>
      <c r="K455" t="str">
        <f t="shared" si="14"/>
        <v>Senior</v>
      </c>
      <c r="L455" t="str">
        <f t="shared" si="15"/>
        <v>Normal</v>
      </c>
    </row>
    <row r="456" spans="1:12" x14ac:dyDescent="0.2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>
        <v>0</v>
      </c>
      <c r="K456" t="str">
        <f t="shared" si="14"/>
        <v>Young</v>
      </c>
      <c r="L456" t="str">
        <f t="shared" si="15"/>
        <v>Obese</v>
      </c>
    </row>
    <row r="457" spans="1:12" x14ac:dyDescent="0.2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>
        <v>1</v>
      </c>
      <c r="K457" t="str">
        <f t="shared" si="14"/>
        <v>Middle-Aged</v>
      </c>
      <c r="L457" t="str">
        <f t="shared" si="15"/>
        <v>Obese</v>
      </c>
    </row>
    <row r="458" spans="1:12" x14ac:dyDescent="0.2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>
        <v>0</v>
      </c>
      <c r="K458" t="str">
        <f t="shared" si="14"/>
        <v>Senior</v>
      </c>
      <c r="L458" t="str">
        <f t="shared" si="15"/>
        <v>Overweight</v>
      </c>
    </row>
    <row r="459" spans="1:12" x14ac:dyDescent="0.2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>
        <v>0</v>
      </c>
      <c r="K459" t="str">
        <f t="shared" si="14"/>
        <v>Young</v>
      </c>
      <c r="L459" t="str">
        <f t="shared" si="15"/>
        <v>Obese</v>
      </c>
    </row>
    <row r="460" spans="1:12" x14ac:dyDescent="0.2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>
        <v>1</v>
      </c>
      <c r="K460" t="str">
        <f t="shared" si="14"/>
        <v>Senior</v>
      </c>
      <c r="L460" t="str">
        <f t="shared" si="15"/>
        <v>Obese</v>
      </c>
    </row>
    <row r="461" spans="1:12" x14ac:dyDescent="0.2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>
        <v>0</v>
      </c>
      <c r="K461" t="str">
        <f t="shared" si="14"/>
        <v>Senior</v>
      </c>
      <c r="L461" t="str">
        <f t="shared" si="15"/>
        <v>Overweight</v>
      </c>
    </row>
    <row r="462" spans="1:12" x14ac:dyDescent="0.2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>
        <v>0</v>
      </c>
      <c r="K462" t="str">
        <f t="shared" si="14"/>
        <v>Senior</v>
      </c>
      <c r="L462" t="str">
        <f t="shared" si="15"/>
        <v>Normal</v>
      </c>
    </row>
    <row r="463" spans="1:12" x14ac:dyDescent="0.2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>
        <v>0</v>
      </c>
      <c r="K463" t="str">
        <f t="shared" si="14"/>
        <v>Young</v>
      </c>
      <c r="L463" t="str">
        <f t="shared" si="15"/>
        <v>Normal</v>
      </c>
    </row>
    <row r="464" spans="1:12" x14ac:dyDescent="0.2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>
        <v>0</v>
      </c>
      <c r="K464" t="str">
        <f t="shared" si="14"/>
        <v>Middle-Aged</v>
      </c>
      <c r="L464" t="str">
        <f t="shared" si="15"/>
        <v>Obese</v>
      </c>
    </row>
    <row r="465" spans="1:12" x14ac:dyDescent="0.2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>
        <v>0</v>
      </c>
      <c r="K465" t="str">
        <f t="shared" si="14"/>
        <v>Middle-Aged</v>
      </c>
      <c r="L465" t="str">
        <f t="shared" si="15"/>
        <v>Overweight</v>
      </c>
    </row>
    <row r="466" spans="1:12" x14ac:dyDescent="0.2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>
        <v>0</v>
      </c>
      <c r="K466" t="str">
        <f t="shared" si="14"/>
        <v>Middle-Aged</v>
      </c>
      <c r="L466" t="str">
        <f t="shared" si="15"/>
        <v>Normal</v>
      </c>
    </row>
    <row r="467" spans="1:12" x14ac:dyDescent="0.2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>
        <v>0</v>
      </c>
      <c r="K467" t="str">
        <f t="shared" si="14"/>
        <v>Young</v>
      </c>
      <c r="L467" t="str">
        <f t="shared" si="15"/>
        <v>Normal</v>
      </c>
    </row>
    <row r="468" spans="1:12" x14ac:dyDescent="0.2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>
        <v>0</v>
      </c>
      <c r="K468" t="str">
        <f t="shared" si="14"/>
        <v>Young</v>
      </c>
      <c r="L468" t="str">
        <f t="shared" si="15"/>
        <v>Overweight</v>
      </c>
    </row>
    <row r="469" spans="1:12" x14ac:dyDescent="0.2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>
        <v>0</v>
      </c>
      <c r="K469" t="str">
        <f t="shared" si="14"/>
        <v>Young</v>
      </c>
      <c r="L469" t="str">
        <f t="shared" si="15"/>
        <v>Obese</v>
      </c>
    </row>
    <row r="470" spans="1:12" x14ac:dyDescent="0.2">
      <c r="A470">
        <v>469</v>
      </c>
      <c r="B470">
        <v>8</v>
      </c>
      <c r="C470">
        <v>120</v>
      </c>
      <c r="D470">
        <v>121</v>
      </c>
      <c r="E470">
        <v>0</v>
      </c>
      <c r="F470">
        <v>0</v>
      </c>
      <c r="G470">
        <v>30</v>
      </c>
      <c r="H470">
        <v>0.183</v>
      </c>
      <c r="I470">
        <v>38</v>
      </c>
      <c r="J470">
        <v>1</v>
      </c>
      <c r="K470" t="str">
        <f t="shared" si="14"/>
        <v>Middle-Aged</v>
      </c>
      <c r="L470" t="str">
        <f t="shared" si="15"/>
        <v>Obese</v>
      </c>
    </row>
    <row r="471" spans="1:12" x14ac:dyDescent="0.2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>
        <v>0</v>
      </c>
      <c r="K471" t="str">
        <f t="shared" si="14"/>
        <v>Young</v>
      </c>
      <c r="L471" t="str">
        <f t="shared" si="15"/>
        <v>Obese</v>
      </c>
    </row>
    <row r="472" spans="1:12" x14ac:dyDescent="0.2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>
        <v>0</v>
      </c>
      <c r="K472" t="str">
        <f t="shared" si="14"/>
        <v>Young</v>
      </c>
      <c r="L472" t="str">
        <f t="shared" si="15"/>
        <v>Obese</v>
      </c>
    </row>
    <row r="473" spans="1:12" x14ac:dyDescent="0.2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>
        <v>0</v>
      </c>
      <c r="K473" t="str">
        <f t="shared" si="14"/>
        <v>Young</v>
      </c>
      <c r="L473" t="str">
        <f t="shared" si="15"/>
        <v>Obese</v>
      </c>
    </row>
    <row r="474" spans="1:12" x14ac:dyDescent="0.2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>
        <v>0</v>
      </c>
      <c r="K474" t="str">
        <f t="shared" si="14"/>
        <v>Young</v>
      </c>
      <c r="L474" t="str">
        <f t="shared" si="15"/>
        <v>Obese</v>
      </c>
    </row>
    <row r="475" spans="1:12" x14ac:dyDescent="0.2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>
        <v>0</v>
      </c>
      <c r="K475" t="str">
        <f t="shared" si="14"/>
        <v>Senior</v>
      </c>
      <c r="L475" t="str">
        <f t="shared" si="15"/>
        <v>Overweight</v>
      </c>
    </row>
    <row r="476" spans="1:12" x14ac:dyDescent="0.2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>
        <v>0</v>
      </c>
      <c r="K476" t="str">
        <f t="shared" si="14"/>
        <v>Young</v>
      </c>
      <c r="L476" t="str">
        <f t="shared" si="15"/>
        <v>Overweight</v>
      </c>
    </row>
    <row r="477" spans="1:12" x14ac:dyDescent="0.2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>
        <v>0</v>
      </c>
      <c r="K477" t="str">
        <f t="shared" si="14"/>
        <v>Senior</v>
      </c>
      <c r="L477" t="str">
        <f t="shared" si="15"/>
        <v>Overweight</v>
      </c>
    </row>
    <row r="478" spans="1:12" x14ac:dyDescent="0.2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>
        <v>1</v>
      </c>
      <c r="K478" t="str">
        <f t="shared" si="14"/>
        <v>Young</v>
      </c>
      <c r="L478" t="str">
        <f t="shared" si="15"/>
        <v>Obese</v>
      </c>
    </row>
    <row r="479" spans="1:12" x14ac:dyDescent="0.2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>
        <v>0</v>
      </c>
      <c r="K479" t="str">
        <f t="shared" si="14"/>
        <v>Middle-Aged</v>
      </c>
      <c r="L479" t="str">
        <f t="shared" si="15"/>
        <v>Normal</v>
      </c>
    </row>
    <row r="480" spans="1:12" x14ac:dyDescent="0.2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>
        <v>0</v>
      </c>
      <c r="K480" t="str">
        <f t="shared" si="14"/>
        <v>Middle-Aged</v>
      </c>
      <c r="L480" t="str">
        <f t="shared" si="15"/>
        <v>Overweight</v>
      </c>
    </row>
    <row r="481" spans="1:12" x14ac:dyDescent="0.2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>
        <v>0</v>
      </c>
      <c r="K481" t="str">
        <f t="shared" si="14"/>
        <v>Senior</v>
      </c>
      <c r="L481" t="str">
        <f t="shared" si="15"/>
        <v>Overweight</v>
      </c>
    </row>
    <row r="482" spans="1:12" x14ac:dyDescent="0.2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>
        <v>1</v>
      </c>
      <c r="K482" t="str">
        <f t="shared" si="14"/>
        <v>Middle-Aged</v>
      </c>
      <c r="L482" t="str">
        <f t="shared" si="15"/>
        <v>Obese</v>
      </c>
    </row>
    <row r="483" spans="1:12" x14ac:dyDescent="0.2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>
        <v>0</v>
      </c>
      <c r="K483" t="str">
        <f t="shared" si="14"/>
        <v>Young</v>
      </c>
      <c r="L483" t="str">
        <f t="shared" si="15"/>
        <v>Obese</v>
      </c>
    </row>
    <row r="484" spans="1:12" x14ac:dyDescent="0.2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>
        <v>0</v>
      </c>
      <c r="K484" t="str">
        <f t="shared" si="14"/>
        <v>Young</v>
      </c>
      <c r="L484" t="str">
        <f t="shared" si="15"/>
        <v>Overweight</v>
      </c>
    </row>
    <row r="485" spans="1:12" x14ac:dyDescent="0.2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>
        <v>0</v>
      </c>
      <c r="K485" t="str">
        <f t="shared" si="14"/>
        <v>Young</v>
      </c>
      <c r="L485" t="str">
        <f t="shared" si="15"/>
        <v>Obese</v>
      </c>
    </row>
    <row r="486" spans="1:12" x14ac:dyDescent="0.2">
      <c r="A486">
        <v>485</v>
      </c>
      <c r="B486">
        <v>0</v>
      </c>
      <c r="C486">
        <v>145</v>
      </c>
      <c r="D486">
        <v>121</v>
      </c>
      <c r="E486">
        <v>0</v>
      </c>
      <c r="F486">
        <v>0</v>
      </c>
      <c r="G486">
        <v>44.2</v>
      </c>
      <c r="H486">
        <v>0.63</v>
      </c>
      <c r="I486">
        <v>31</v>
      </c>
      <c r="J486">
        <v>1</v>
      </c>
      <c r="K486" t="str">
        <f t="shared" si="14"/>
        <v>Middle-Aged</v>
      </c>
      <c r="L486" t="str">
        <f t="shared" si="15"/>
        <v>Obese</v>
      </c>
    </row>
    <row r="487" spans="1:12" x14ac:dyDescent="0.2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>
        <v>1</v>
      </c>
      <c r="K487" t="str">
        <f t="shared" si="14"/>
        <v>Young</v>
      </c>
      <c r="L487" t="str">
        <f t="shared" si="15"/>
        <v>Obese</v>
      </c>
    </row>
    <row r="488" spans="1:12" x14ac:dyDescent="0.2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>
        <v>0</v>
      </c>
      <c r="K488" t="str">
        <f t="shared" si="14"/>
        <v>Young</v>
      </c>
      <c r="L488" t="str">
        <f t="shared" si="15"/>
        <v>Obese</v>
      </c>
    </row>
    <row r="489" spans="1:12" x14ac:dyDescent="0.2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>
        <v>0</v>
      </c>
      <c r="K489" t="str">
        <f t="shared" si="14"/>
        <v>Senior</v>
      </c>
      <c r="L489" t="str">
        <f t="shared" si="15"/>
        <v>Obese</v>
      </c>
    </row>
    <row r="490" spans="1:12" x14ac:dyDescent="0.2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>
        <v>0</v>
      </c>
      <c r="K490" t="str">
        <f t="shared" si="14"/>
        <v>Young</v>
      </c>
      <c r="L490" t="str">
        <f t="shared" si="15"/>
        <v>Overweight</v>
      </c>
    </row>
    <row r="491" spans="1:12" x14ac:dyDescent="0.2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>
        <v>0</v>
      </c>
      <c r="K491" t="str">
        <f t="shared" si="14"/>
        <v>Senior</v>
      </c>
      <c r="L491" t="str">
        <f t="shared" si="15"/>
        <v>Overweight</v>
      </c>
    </row>
    <row r="492" spans="1:12" x14ac:dyDescent="0.2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>
        <v>0</v>
      </c>
      <c r="K492" t="str">
        <f t="shared" si="14"/>
        <v>Young</v>
      </c>
      <c r="L492" t="str">
        <f t="shared" si="15"/>
        <v>Obese</v>
      </c>
    </row>
    <row r="493" spans="1:12" x14ac:dyDescent="0.2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>
        <v>0</v>
      </c>
      <c r="K493" t="str">
        <f t="shared" si="14"/>
        <v>Middle-Aged</v>
      </c>
      <c r="L493" t="str">
        <f t="shared" si="15"/>
        <v>Obese</v>
      </c>
    </row>
    <row r="494" spans="1:12" x14ac:dyDescent="0.2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>
        <v>0</v>
      </c>
      <c r="K494" t="str">
        <f t="shared" si="14"/>
        <v>Middle-Aged</v>
      </c>
      <c r="L494" t="str">
        <f t="shared" si="15"/>
        <v>Obese</v>
      </c>
    </row>
    <row r="495" spans="1:12" x14ac:dyDescent="0.2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>
        <v>1</v>
      </c>
      <c r="K495" t="str">
        <f t="shared" si="14"/>
        <v>Senior</v>
      </c>
      <c r="L495" t="str">
        <f t="shared" si="15"/>
        <v>Overweight</v>
      </c>
    </row>
    <row r="496" spans="1:12" x14ac:dyDescent="0.2">
      <c r="A496">
        <v>495</v>
      </c>
      <c r="B496">
        <v>3</v>
      </c>
      <c r="C496">
        <v>80</v>
      </c>
      <c r="D496">
        <v>121</v>
      </c>
      <c r="E496">
        <v>0</v>
      </c>
      <c r="F496">
        <v>0</v>
      </c>
      <c r="G496">
        <v>121</v>
      </c>
      <c r="H496">
        <v>0.17399999999999999</v>
      </c>
      <c r="I496">
        <v>22</v>
      </c>
      <c r="J496">
        <v>0</v>
      </c>
      <c r="K496" t="str">
        <f t="shared" si="14"/>
        <v>Young</v>
      </c>
      <c r="L496" t="str">
        <f t="shared" si="15"/>
        <v>Obese</v>
      </c>
    </row>
    <row r="497" spans="1:12" x14ac:dyDescent="0.2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>
        <v>0</v>
      </c>
      <c r="K497" t="str">
        <f t="shared" si="14"/>
        <v>Senior</v>
      </c>
      <c r="L497" t="str">
        <f t="shared" si="15"/>
        <v>Overweight</v>
      </c>
    </row>
    <row r="498" spans="1:12" x14ac:dyDescent="0.2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>
        <v>0</v>
      </c>
      <c r="K498" t="str">
        <f t="shared" si="14"/>
        <v>Middle-Aged</v>
      </c>
      <c r="L498" t="str">
        <f t="shared" si="15"/>
        <v>Overweight</v>
      </c>
    </row>
    <row r="499" spans="1:12" x14ac:dyDescent="0.2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>
        <v>0</v>
      </c>
      <c r="K499" t="str">
        <f t="shared" si="14"/>
        <v>Young</v>
      </c>
      <c r="L499" t="str">
        <f t="shared" si="15"/>
        <v>Obese</v>
      </c>
    </row>
    <row r="500" spans="1:12" x14ac:dyDescent="0.2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>
        <v>1</v>
      </c>
      <c r="K500" t="str">
        <f t="shared" si="14"/>
        <v>Senior</v>
      </c>
      <c r="L500" t="str">
        <f t="shared" si="15"/>
        <v>Overweight</v>
      </c>
    </row>
    <row r="501" spans="1:12" x14ac:dyDescent="0.2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>
        <v>0</v>
      </c>
      <c r="K501" t="str">
        <f t="shared" si="14"/>
        <v>Middle-Aged</v>
      </c>
      <c r="L501" t="str">
        <f t="shared" si="15"/>
        <v>Overweight</v>
      </c>
    </row>
    <row r="502" spans="1:12" x14ac:dyDescent="0.2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>
        <v>0</v>
      </c>
      <c r="K502" t="str">
        <f t="shared" si="14"/>
        <v>Young</v>
      </c>
      <c r="L502" t="str">
        <f t="shared" si="15"/>
        <v>Overweight</v>
      </c>
    </row>
    <row r="503" spans="1:12" x14ac:dyDescent="0.2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>
        <v>0</v>
      </c>
      <c r="K503" t="str">
        <f t="shared" si="14"/>
        <v>Young</v>
      </c>
      <c r="L503" t="str">
        <f t="shared" si="15"/>
        <v>Obese</v>
      </c>
    </row>
    <row r="504" spans="1:12" x14ac:dyDescent="0.2">
      <c r="A504">
        <v>503</v>
      </c>
      <c r="B504">
        <v>6</v>
      </c>
      <c r="C504">
        <v>121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>
        <v>1</v>
      </c>
      <c r="K504" t="str">
        <f t="shared" si="14"/>
        <v>Middle-Aged</v>
      </c>
      <c r="L504" t="str">
        <f t="shared" si="15"/>
        <v>Obese</v>
      </c>
    </row>
    <row r="505" spans="1:12" x14ac:dyDescent="0.2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>
        <v>0</v>
      </c>
      <c r="K505" t="str">
        <f t="shared" si="14"/>
        <v>Middle-Aged</v>
      </c>
      <c r="L505" t="str">
        <f t="shared" si="15"/>
        <v>Obese</v>
      </c>
    </row>
    <row r="506" spans="1:12" x14ac:dyDescent="0.2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>
        <v>0</v>
      </c>
      <c r="K506" t="str">
        <f t="shared" si="14"/>
        <v>Middle-Aged</v>
      </c>
      <c r="L506" t="str">
        <f t="shared" si="15"/>
        <v>Obese</v>
      </c>
    </row>
    <row r="507" spans="1:12" x14ac:dyDescent="0.2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>
        <v>0</v>
      </c>
      <c r="K507" t="str">
        <f t="shared" si="14"/>
        <v>Middle-Aged</v>
      </c>
      <c r="L507" t="str">
        <f t="shared" si="15"/>
        <v>Obese</v>
      </c>
    </row>
    <row r="508" spans="1:12" x14ac:dyDescent="0.2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>
        <v>1</v>
      </c>
      <c r="K508" t="str">
        <f t="shared" si="14"/>
        <v>Middle-Aged</v>
      </c>
      <c r="L508" t="str">
        <f t="shared" si="15"/>
        <v>Obese</v>
      </c>
    </row>
    <row r="509" spans="1:12" x14ac:dyDescent="0.2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>
        <v>0</v>
      </c>
      <c r="K509" t="str">
        <f t="shared" si="14"/>
        <v>Young</v>
      </c>
      <c r="L509" t="str">
        <f t="shared" si="15"/>
        <v>Overweight</v>
      </c>
    </row>
    <row r="510" spans="1:12" x14ac:dyDescent="0.2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>
        <v>0</v>
      </c>
      <c r="K510" t="str">
        <f t="shared" si="14"/>
        <v>Young</v>
      </c>
      <c r="L510" t="str">
        <f t="shared" si="15"/>
        <v>Obese</v>
      </c>
    </row>
    <row r="511" spans="1:12" x14ac:dyDescent="0.2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>
        <v>0</v>
      </c>
      <c r="K511" t="str">
        <f t="shared" si="14"/>
        <v>Senior</v>
      </c>
      <c r="L511" t="str">
        <f t="shared" si="15"/>
        <v>Overweight</v>
      </c>
    </row>
    <row r="512" spans="1:12" x14ac:dyDescent="0.2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>
        <v>1</v>
      </c>
      <c r="K512" t="str">
        <f t="shared" si="14"/>
        <v>Senior</v>
      </c>
      <c r="L512" t="str">
        <f t="shared" si="15"/>
        <v>Overweight</v>
      </c>
    </row>
    <row r="513" spans="1:12" x14ac:dyDescent="0.2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>
        <v>0</v>
      </c>
      <c r="K513" t="str">
        <f t="shared" si="14"/>
        <v>Young</v>
      </c>
      <c r="L513" t="str">
        <f t="shared" si="15"/>
        <v>Normal</v>
      </c>
    </row>
    <row r="514" spans="1:12" x14ac:dyDescent="0.2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>
        <v>0</v>
      </c>
      <c r="K514" t="str">
        <f t="shared" si="14"/>
        <v>Senior</v>
      </c>
      <c r="L514" t="str">
        <f t="shared" si="15"/>
        <v>Normal</v>
      </c>
    </row>
    <row r="515" spans="1:12" x14ac:dyDescent="0.2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>
        <v>0</v>
      </c>
      <c r="K515" t="str">
        <f t="shared" ref="K515:K578" si="16">IF(I515&lt;30, "Young", IF( I515&lt;45, "Middle-Aged", "Senior"))</f>
        <v>Young</v>
      </c>
      <c r="L515" t="str">
        <f t="shared" ref="L515:L578" si="17">IF(G515&lt;18.5, "Underweight", IF(G515&lt;25, "Normal", IF(G515&lt;30, "Overweight", "Obese")))</f>
        <v>Overweight</v>
      </c>
    </row>
    <row r="516" spans="1:12" x14ac:dyDescent="0.2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>
        <v>0</v>
      </c>
      <c r="K516" t="str">
        <f t="shared" si="16"/>
        <v>Young</v>
      </c>
      <c r="L516" t="str">
        <f t="shared" si="17"/>
        <v>Overweight</v>
      </c>
    </row>
    <row r="517" spans="1:12" x14ac:dyDescent="0.2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>
        <v>1</v>
      </c>
      <c r="K517" t="str">
        <f t="shared" si="16"/>
        <v>Young</v>
      </c>
      <c r="L517" t="str">
        <f t="shared" si="17"/>
        <v>Obese</v>
      </c>
    </row>
    <row r="518" spans="1:12" x14ac:dyDescent="0.2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>
        <v>1</v>
      </c>
      <c r="K518" t="str">
        <f t="shared" si="16"/>
        <v>Senior</v>
      </c>
      <c r="L518" t="str">
        <f t="shared" si="17"/>
        <v>Obese</v>
      </c>
    </row>
    <row r="519" spans="1:12" x14ac:dyDescent="0.2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>
        <v>0</v>
      </c>
      <c r="K519" t="str">
        <f t="shared" si="16"/>
        <v>Senior</v>
      </c>
      <c r="L519" t="str">
        <f t="shared" si="17"/>
        <v>Obese</v>
      </c>
    </row>
    <row r="520" spans="1:12" x14ac:dyDescent="0.2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>
        <v>0</v>
      </c>
      <c r="K520" t="str">
        <f t="shared" si="16"/>
        <v>Middle-Aged</v>
      </c>
      <c r="L520" t="str">
        <f t="shared" si="17"/>
        <v>Obese</v>
      </c>
    </row>
    <row r="521" spans="1:12" x14ac:dyDescent="0.2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>
        <v>0</v>
      </c>
      <c r="K521" t="str">
        <f t="shared" si="16"/>
        <v>Senior</v>
      </c>
      <c r="L521" t="str">
        <f t="shared" si="17"/>
        <v>Normal</v>
      </c>
    </row>
    <row r="522" spans="1:12" x14ac:dyDescent="0.2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>
        <v>0</v>
      </c>
      <c r="K522" t="str">
        <f t="shared" si="16"/>
        <v>Young</v>
      </c>
      <c r="L522" t="str">
        <f t="shared" si="17"/>
        <v>Overweight</v>
      </c>
    </row>
    <row r="523" spans="1:12" x14ac:dyDescent="0.2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>
        <v>0</v>
      </c>
      <c r="K523" t="str">
        <f t="shared" si="16"/>
        <v>Young</v>
      </c>
      <c r="L523" t="str">
        <f t="shared" si="17"/>
        <v>Obese</v>
      </c>
    </row>
    <row r="524" spans="1:12" x14ac:dyDescent="0.2">
      <c r="A524">
        <v>523</v>
      </c>
      <c r="B524">
        <v>6</v>
      </c>
      <c r="C524">
        <v>114</v>
      </c>
      <c r="D524">
        <v>121</v>
      </c>
      <c r="E524">
        <v>0</v>
      </c>
      <c r="F524">
        <v>0</v>
      </c>
      <c r="G524">
        <v>121</v>
      </c>
      <c r="H524">
        <v>0.189</v>
      </c>
      <c r="I524">
        <v>26</v>
      </c>
      <c r="J524">
        <v>0</v>
      </c>
      <c r="K524" t="str">
        <f t="shared" si="16"/>
        <v>Young</v>
      </c>
      <c r="L524" t="str">
        <f t="shared" si="17"/>
        <v>Obese</v>
      </c>
    </row>
    <row r="525" spans="1:12" x14ac:dyDescent="0.2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>
        <v>1</v>
      </c>
      <c r="K525" t="str">
        <f t="shared" si="16"/>
        <v>Senior</v>
      </c>
      <c r="L525" t="str">
        <f t="shared" si="17"/>
        <v>Obese</v>
      </c>
    </row>
    <row r="526" spans="1:12" x14ac:dyDescent="0.2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>
        <v>0</v>
      </c>
      <c r="K526" t="str">
        <f t="shared" si="16"/>
        <v>Young</v>
      </c>
      <c r="L526" t="str">
        <f t="shared" si="17"/>
        <v>Obese</v>
      </c>
    </row>
    <row r="527" spans="1:12" x14ac:dyDescent="0.2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>
        <v>0</v>
      </c>
      <c r="K527" t="str">
        <f t="shared" si="16"/>
        <v>Young</v>
      </c>
      <c r="L527" t="str">
        <f t="shared" si="17"/>
        <v>Normal</v>
      </c>
    </row>
    <row r="528" spans="1:12" x14ac:dyDescent="0.2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>
        <v>0</v>
      </c>
      <c r="K528" t="str">
        <f t="shared" si="16"/>
        <v>Young</v>
      </c>
      <c r="L528" t="str">
        <f t="shared" si="17"/>
        <v>Underweight</v>
      </c>
    </row>
    <row r="529" spans="1:12" x14ac:dyDescent="0.2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>
        <v>0</v>
      </c>
      <c r="K529" t="str">
        <f t="shared" si="16"/>
        <v>Young</v>
      </c>
      <c r="L529" t="str">
        <f t="shared" si="17"/>
        <v>Overweight</v>
      </c>
    </row>
    <row r="530" spans="1:12" x14ac:dyDescent="0.2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>
        <v>0</v>
      </c>
      <c r="K530" t="str">
        <f t="shared" si="16"/>
        <v>Young</v>
      </c>
      <c r="L530" t="str">
        <f t="shared" si="17"/>
        <v>Obese</v>
      </c>
    </row>
    <row r="531" spans="1:12" x14ac:dyDescent="0.2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>
        <v>0</v>
      </c>
      <c r="K531" t="str">
        <f t="shared" si="16"/>
        <v>Middle-Aged</v>
      </c>
      <c r="L531" t="str">
        <f t="shared" si="17"/>
        <v>Normal</v>
      </c>
    </row>
    <row r="532" spans="1:12" x14ac:dyDescent="0.2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>
        <v>0</v>
      </c>
      <c r="K532" t="str">
        <f t="shared" si="16"/>
        <v>Young</v>
      </c>
      <c r="L532" t="str">
        <f t="shared" si="17"/>
        <v>Overweight</v>
      </c>
    </row>
    <row r="533" spans="1:12" x14ac:dyDescent="0.2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>
        <v>0</v>
      </c>
      <c r="K533" t="str">
        <f t="shared" si="16"/>
        <v>Young</v>
      </c>
      <c r="L533" t="str">
        <f t="shared" si="17"/>
        <v>Obese</v>
      </c>
    </row>
    <row r="534" spans="1:12" x14ac:dyDescent="0.2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>
        <v>0</v>
      </c>
      <c r="K534" t="str">
        <f t="shared" si="16"/>
        <v>Young</v>
      </c>
      <c r="L534" t="str">
        <f t="shared" si="17"/>
        <v>Obese</v>
      </c>
    </row>
    <row r="535" spans="1:12" x14ac:dyDescent="0.2">
      <c r="A535">
        <v>534</v>
      </c>
      <c r="B535">
        <v>6</v>
      </c>
      <c r="C535">
        <v>91</v>
      </c>
      <c r="D535">
        <v>121</v>
      </c>
      <c r="E535">
        <v>0</v>
      </c>
      <c r="F535">
        <v>0</v>
      </c>
      <c r="G535">
        <v>29.8</v>
      </c>
      <c r="H535">
        <v>0.501</v>
      </c>
      <c r="I535">
        <v>31</v>
      </c>
      <c r="J535">
        <v>0</v>
      </c>
      <c r="K535" t="str">
        <f t="shared" si="16"/>
        <v>Middle-Aged</v>
      </c>
      <c r="L535" t="str">
        <f t="shared" si="17"/>
        <v>Overweight</v>
      </c>
    </row>
    <row r="536" spans="1:12" x14ac:dyDescent="0.2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>
        <v>0</v>
      </c>
      <c r="K536" t="str">
        <f t="shared" si="16"/>
        <v>Young</v>
      </c>
      <c r="L536" t="str">
        <f t="shared" si="17"/>
        <v>Obese</v>
      </c>
    </row>
    <row r="537" spans="1:12" x14ac:dyDescent="0.2">
      <c r="A537">
        <v>536</v>
      </c>
      <c r="B537">
        <v>4</v>
      </c>
      <c r="C537">
        <v>132</v>
      </c>
      <c r="D537">
        <v>121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>
        <v>1</v>
      </c>
      <c r="K537" t="str">
        <f t="shared" si="16"/>
        <v>Young</v>
      </c>
      <c r="L537" t="str">
        <f t="shared" si="17"/>
        <v>Obese</v>
      </c>
    </row>
    <row r="538" spans="1:12" x14ac:dyDescent="0.2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>
        <v>0</v>
      </c>
      <c r="K538" t="str">
        <f t="shared" si="16"/>
        <v>Senior</v>
      </c>
      <c r="L538" t="str">
        <f t="shared" si="17"/>
        <v>Overweight</v>
      </c>
    </row>
    <row r="539" spans="1:12" x14ac:dyDescent="0.2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>
        <v>0</v>
      </c>
      <c r="K539" t="str">
        <f t="shared" si="16"/>
        <v>Senior</v>
      </c>
      <c r="L539" t="str">
        <f t="shared" si="17"/>
        <v>Normal</v>
      </c>
    </row>
    <row r="540" spans="1:12" x14ac:dyDescent="0.2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>
        <v>0</v>
      </c>
      <c r="K540" t="str">
        <f t="shared" si="16"/>
        <v>Young</v>
      </c>
      <c r="L540" t="str">
        <f t="shared" si="17"/>
        <v>Obese</v>
      </c>
    </row>
    <row r="541" spans="1:12" x14ac:dyDescent="0.2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>
        <v>1</v>
      </c>
      <c r="K541" t="str">
        <f t="shared" si="16"/>
        <v>Middle-Aged</v>
      </c>
      <c r="L541" t="str">
        <f t="shared" si="17"/>
        <v>Obese</v>
      </c>
    </row>
    <row r="542" spans="1:12" x14ac:dyDescent="0.2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>
        <v>1</v>
      </c>
      <c r="K542" t="str">
        <f t="shared" si="16"/>
        <v>Middle-Aged</v>
      </c>
      <c r="L542" t="str">
        <f t="shared" si="17"/>
        <v>Obese</v>
      </c>
    </row>
    <row r="543" spans="1:12" x14ac:dyDescent="0.2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>
        <v>1</v>
      </c>
      <c r="K543" t="str">
        <f t="shared" si="16"/>
        <v>Young</v>
      </c>
      <c r="L543" t="str">
        <f t="shared" si="17"/>
        <v>Obese</v>
      </c>
    </row>
    <row r="544" spans="1:12" x14ac:dyDescent="0.2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>
        <v>1</v>
      </c>
      <c r="K544" t="str">
        <f t="shared" si="16"/>
        <v>Senior</v>
      </c>
      <c r="L544" t="str">
        <f t="shared" si="17"/>
        <v>Obese</v>
      </c>
    </row>
    <row r="545" spans="1:12" x14ac:dyDescent="0.2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>
        <v>0</v>
      </c>
      <c r="K545" t="str">
        <f t="shared" si="16"/>
        <v>Young</v>
      </c>
      <c r="L545" t="str">
        <f t="shared" si="17"/>
        <v>Obese</v>
      </c>
    </row>
    <row r="546" spans="1:12" x14ac:dyDescent="0.2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>
        <v>0</v>
      </c>
      <c r="K546" t="str">
        <f t="shared" si="16"/>
        <v>Young</v>
      </c>
      <c r="L546" t="str">
        <f t="shared" si="17"/>
        <v>Obese</v>
      </c>
    </row>
    <row r="547" spans="1:12" x14ac:dyDescent="0.2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>
        <v>1</v>
      </c>
      <c r="K547" t="str">
        <f t="shared" si="16"/>
        <v>Middle-Aged</v>
      </c>
      <c r="L547" t="str">
        <f t="shared" si="17"/>
        <v>Obese</v>
      </c>
    </row>
    <row r="548" spans="1:12" x14ac:dyDescent="0.2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>
        <v>1</v>
      </c>
      <c r="K548" t="str">
        <f t="shared" si="16"/>
        <v>Senior</v>
      </c>
      <c r="L548" t="str">
        <f t="shared" si="17"/>
        <v>Obese</v>
      </c>
    </row>
    <row r="549" spans="1:12" x14ac:dyDescent="0.2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>
        <v>0</v>
      </c>
      <c r="K549" t="str">
        <f t="shared" si="16"/>
        <v>Young</v>
      </c>
      <c r="L549" t="str">
        <f t="shared" si="17"/>
        <v>Obese</v>
      </c>
    </row>
    <row r="550" spans="1:12" x14ac:dyDescent="0.2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>
        <v>0</v>
      </c>
      <c r="K550" t="str">
        <f t="shared" si="16"/>
        <v>Senior</v>
      </c>
      <c r="L550" t="str">
        <f t="shared" si="17"/>
        <v>Obese</v>
      </c>
    </row>
    <row r="551" spans="1:12" x14ac:dyDescent="0.2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>
        <v>0</v>
      </c>
      <c r="K551" t="str">
        <f t="shared" si="16"/>
        <v>Middle-Aged</v>
      </c>
      <c r="L551" t="str">
        <f t="shared" si="17"/>
        <v>Overweight</v>
      </c>
    </row>
    <row r="552" spans="1:12" x14ac:dyDescent="0.2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>
        <v>0</v>
      </c>
      <c r="K552" t="str">
        <f t="shared" si="16"/>
        <v>Young</v>
      </c>
      <c r="L552" t="str">
        <f t="shared" si="17"/>
        <v>Overweight</v>
      </c>
    </row>
    <row r="553" spans="1:12" x14ac:dyDescent="0.2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>
        <v>0</v>
      </c>
      <c r="K553" t="str">
        <f t="shared" si="16"/>
        <v>Young</v>
      </c>
      <c r="L553" t="str">
        <f t="shared" si="17"/>
        <v>Obese</v>
      </c>
    </row>
    <row r="554" spans="1:12" x14ac:dyDescent="0.2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>
        <v>0</v>
      </c>
      <c r="K554" t="str">
        <f t="shared" si="16"/>
        <v>Senior</v>
      </c>
      <c r="L554" t="str">
        <f t="shared" si="17"/>
        <v>Overweight</v>
      </c>
    </row>
    <row r="555" spans="1:12" x14ac:dyDescent="0.2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>
        <v>0</v>
      </c>
      <c r="K555" t="str">
        <f t="shared" si="16"/>
        <v>Young</v>
      </c>
      <c r="L555" t="str">
        <f t="shared" si="17"/>
        <v>Overweight</v>
      </c>
    </row>
    <row r="556" spans="1:12" x14ac:dyDescent="0.2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>
        <v>0</v>
      </c>
      <c r="K556" t="str">
        <f t="shared" si="16"/>
        <v>Young</v>
      </c>
      <c r="L556" t="str">
        <f t="shared" si="17"/>
        <v>Obese</v>
      </c>
    </row>
    <row r="557" spans="1:12" x14ac:dyDescent="0.2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>
        <v>0</v>
      </c>
      <c r="K557" t="str">
        <f t="shared" si="16"/>
        <v>Middle-Aged</v>
      </c>
      <c r="L557" t="str">
        <f t="shared" si="17"/>
        <v>Overweight</v>
      </c>
    </row>
    <row r="558" spans="1:12" x14ac:dyDescent="0.2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>
        <v>0</v>
      </c>
      <c r="K558" t="str">
        <f t="shared" si="16"/>
        <v>Middle-Aged</v>
      </c>
      <c r="L558" t="str">
        <f t="shared" si="17"/>
        <v>Obese</v>
      </c>
    </row>
    <row r="559" spans="1:12" x14ac:dyDescent="0.2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>
        <v>0</v>
      </c>
      <c r="K559" t="str">
        <f t="shared" si="16"/>
        <v>Senior</v>
      </c>
      <c r="L559" t="str">
        <f t="shared" si="17"/>
        <v>Overweight</v>
      </c>
    </row>
    <row r="560" spans="1:12" x14ac:dyDescent="0.2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>
        <v>0</v>
      </c>
      <c r="K560" t="str">
        <f t="shared" si="16"/>
        <v>Middle-Aged</v>
      </c>
      <c r="L560" t="str">
        <f t="shared" si="17"/>
        <v>Obese</v>
      </c>
    </row>
    <row r="561" spans="1:12" x14ac:dyDescent="0.2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>
        <v>0</v>
      </c>
      <c r="K561" t="str">
        <f t="shared" si="16"/>
        <v>Middle-Aged</v>
      </c>
      <c r="L561" t="str">
        <f t="shared" si="17"/>
        <v>Obese</v>
      </c>
    </row>
    <row r="562" spans="1:12" x14ac:dyDescent="0.2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>
        <v>1</v>
      </c>
      <c r="K562" t="str">
        <f t="shared" si="16"/>
        <v>Senior</v>
      </c>
      <c r="L562" t="str">
        <f t="shared" si="17"/>
        <v>Obese</v>
      </c>
    </row>
    <row r="563" spans="1:12" x14ac:dyDescent="0.2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>
        <v>1</v>
      </c>
      <c r="K563" t="str">
        <f t="shared" si="16"/>
        <v>Young</v>
      </c>
      <c r="L563" t="str">
        <f t="shared" si="17"/>
        <v>Obese</v>
      </c>
    </row>
    <row r="564" spans="1:12" x14ac:dyDescent="0.2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>
        <v>0</v>
      </c>
      <c r="K564" t="str">
        <f t="shared" si="16"/>
        <v>Young</v>
      </c>
      <c r="L564" t="str">
        <f t="shared" si="17"/>
        <v>Obese</v>
      </c>
    </row>
    <row r="565" spans="1:12" x14ac:dyDescent="0.2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>
        <v>0</v>
      </c>
      <c r="K565" t="str">
        <f t="shared" si="16"/>
        <v>Middle-Aged</v>
      </c>
      <c r="L565" t="str">
        <f t="shared" si="17"/>
        <v>Overweight</v>
      </c>
    </row>
    <row r="566" spans="1:12" x14ac:dyDescent="0.2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>
        <v>0</v>
      </c>
      <c r="K566" t="str">
        <f t="shared" si="16"/>
        <v>Young</v>
      </c>
      <c r="L566" t="str">
        <f t="shared" si="17"/>
        <v>Obese</v>
      </c>
    </row>
    <row r="567" spans="1:12" x14ac:dyDescent="0.2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>
        <v>0</v>
      </c>
      <c r="K567" t="str">
        <f t="shared" si="16"/>
        <v>Young</v>
      </c>
      <c r="L567" t="str">
        <f t="shared" si="17"/>
        <v>Overweight</v>
      </c>
    </row>
    <row r="568" spans="1:12" x14ac:dyDescent="0.2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>
        <v>0</v>
      </c>
      <c r="K568" t="str">
        <f t="shared" si="16"/>
        <v>Young</v>
      </c>
      <c r="L568" t="str">
        <f t="shared" si="17"/>
        <v>Obese</v>
      </c>
    </row>
    <row r="569" spans="1:12" x14ac:dyDescent="0.2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>
        <v>0</v>
      </c>
      <c r="K569" t="str">
        <f t="shared" si="16"/>
        <v>Senior</v>
      </c>
      <c r="L569" t="str">
        <f t="shared" si="17"/>
        <v>Obese</v>
      </c>
    </row>
    <row r="570" spans="1:12" x14ac:dyDescent="0.2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>
        <v>0</v>
      </c>
      <c r="K570" t="str">
        <f t="shared" si="16"/>
        <v>Middle-Aged</v>
      </c>
      <c r="L570" t="str">
        <f t="shared" si="17"/>
        <v>Obese</v>
      </c>
    </row>
    <row r="571" spans="1:12" x14ac:dyDescent="0.2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>
        <v>1</v>
      </c>
      <c r="K571" t="str">
        <f t="shared" si="16"/>
        <v>Middle-Aged</v>
      </c>
      <c r="L571" t="str">
        <f t="shared" si="17"/>
        <v>Obese</v>
      </c>
    </row>
    <row r="572" spans="1:12" x14ac:dyDescent="0.2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>
        <v>0</v>
      </c>
      <c r="K572" t="str">
        <f t="shared" si="16"/>
        <v>Middle-Aged</v>
      </c>
      <c r="L572" t="str">
        <f t="shared" si="17"/>
        <v>Obese</v>
      </c>
    </row>
    <row r="573" spans="1:12" x14ac:dyDescent="0.2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>
        <v>0</v>
      </c>
      <c r="K573" t="str">
        <f t="shared" si="16"/>
        <v>Young</v>
      </c>
      <c r="L573" t="str">
        <f t="shared" si="17"/>
        <v>Normal</v>
      </c>
    </row>
    <row r="574" spans="1:12" x14ac:dyDescent="0.2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>
        <v>0</v>
      </c>
      <c r="K574" t="str">
        <f t="shared" si="16"/>
        <v>Young</v>
      </c>
      <c r="L574" t="str">
        <f t="shared" si="17"/>
        <v>Overweight</v>
      </c>
    </row>
    <row r="575" spans="1:12" x14ac:dyDescent="0.2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>
        <v>0</v>
      </c>
      <c r="K575" t="str">
        <f t="shared" si="16"/>
        <v>Young</v>
      </c>
      <c r="L575" t="str">
        <f t="shared" si="17"/>
        <v>Obese</v>
      </c>
    </row>
    <row r="576" spans="1:12" x14ac:dyDescent="0.2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>
        <v>0</v>
      </c>
      <c r="K576" t="str">
        <f t="shared" si="16"/>
        <v>Young</v>
      </c>
      <c r="L576" t="str">
        <f t="shared" si="17"/>
        <v>Obese</v>
      </c>
    </row>
    <row r="577" spans="1:12" x14ac:dyDescent="0.2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>
        <v>0</v>
      </c>
      <c r="K577" t="str">
        <f t="shared" si="16"/>
        <v>Young</v>
      </c>
      <c r="L577" t="str">
        <f t="shared" si="17"/>
        <v>Obese</v>
      </c>
    </row>
    <row r="578" spans="1:12" x14ac:dyDescent="0.2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>
        <v>0</v>
      </c>
      <c r="K578" t="str">
        <f t="shared" si="16"/>
        <v>Middle-Aged</v>
      </c>
      <c r="L578" t="str">
        <f t="shared" si="17"/>
        <v>Normal</v>
      </c>
    </row>
    <row r="579" spans="1:12" x14ac:dyDescent="0.2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>
        <v>1</v>
      </c>
      <c r="K579" t="str">
        <f t="shared" ref="K579:K642" si="18">IF(I579&lt;30, "Young", IF( I579&lt;45, "Middle-Aged", "Senior"))</f>
        <v>Young</v>
      </c>
      <c r="L579" t="str">
        <f t="shared" ref="L579:L642" si="19">IF(G579&lt;18.5, "Underweight", IF(G579&lt;25, "Normal", IF(G579&lt;30, "Overweight", "Obese")))</f>
        <v>Obese</v>
      </c>
    </row>
    <row r="580" spans="1:12" x14ac:dyDescent="0.2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>
        <v>0</v>
      </c>
      <c r="K580" t="str">
        <f t="shared" si="18"/>
        <v>Middle-Aged</v>
      </c>
      <c r="L580" t="str">
        <f t="shared" si="19"/>
        <v>Overweight</v>
      </c>
    </row>
    <row r="581" spans="1:12" x14ac:dyDescent="0.2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>
        <v>1</v>
      </c>
      <c r="K581" t="str">
        <f t="shared" si="18"/>
        <v>Senior</v>
      </c>
      <c r="L581" t="str">
        <f t="shared" si="19"/>
        <v>Obese</v>
      </c>
    </row>
    <row r="582" spans="1:12" x14ac:dyDescent="0.2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>
        <v>1</v>
      </c>
      <c r="K582" t="str">
        <f t="shared" si="18"/>
        <v>Young</v>
      </c>
      <c r="L582" t="str">
        <f t="shared" si="19"/>
        <v>Obese</v>
      </c>
    </row>
    <row r="583" spans="1:12" x14ac:dyDescent="0.2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>
        <v>0</v>
      </c>
      <c r="K583" t="str">
        <f t="shared" si="18"/>
        <v>Young</v>
      </c>
      <c r="L583" t="str">
        <f t="shared" si="19"/>
        <v>Overweight</v>
      </c>
    </row>
    <row r="584" spans="1:12" x14ac:dyDescent="0.2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>
        <v>0</v>
      </c>
      <c r="K584" t="str">
        <f t="shared" si="18"/>
        <v>Senior</v>
      </c>
      <c r="L584" t="str">
        <f t="shared" si="19"/>
        <v>Overweight</v>
      </c>
    </row>
    <row r="585" spans="1:12" x14ac:dyDescent="0.2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>
        <v>0</v>
      </c>
      <c r="K585" t="str">
        <f t="shared" si="18"/>
        <v>Middle-Aged</v>
      </c>
      <c r="L585" t="str">
        <f t="shared" si="19"/>
        <v>Obese</v>
      </c>
    </row>
    <row r="586" spans="1:12" x14ac:dyDescent="0.2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>
        <v>1</v>
      </c>
      <c r="K586" t="str">
        <f t="shared" si="18"/>
        <v>Senior</v>
      </c>
      <c r="L586" t="str">
        <f t="shared" si="19"/>
        <v>Overweight</v>
      </c>
    </row>
    <row r="587" spans="1:12" x14ac:dyDescent="0.2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>
        <v>0</v>
      </c>
      <c r="K587" t="str">
        <f t="shared" si="18"/>
        <v>Young</v>
      </c>
      <c r="L587" t="str">
        <f t="shared" si="19"/>
        <v>Normal</v>
      </c>
    </row>
    <row r="588" spans="1:12" x14ac:dyDescent="0.2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>
        <v>1</v>
      </c>
      <c r="K588" t="str">
        <f t="shared" si="18"/>
        <v>Middle-Aged</v>
      </c>
      <c r="L588" t="str">
        <f t="shared" si="19"/>
        <v>Obese</v>
      </c>
    </row>
    <row r="589" spans="1:12" x14ac:dyDescent="0.2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>
        <v>0</v>
      </c>
      <c r="K589" t="str">
        <f t="shared" si="18"/>
        <v>Young</v>
      </c>
      <c r="L589" t="str">
        <f t="shared" si="19"/>
        <v>Normal</v>
      </c>
    </row>
    <row r="590" spans="1:12" x14ac:dyDescent="0.2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>
        <v>1</v>
      </c>
      <c r="K590" t="str">
        <f t="shared" si="18"/>
        <v>Senior</v>
      </c>
      <c r="L590" t="str">
        <f t="shared" si="19"/>
        <v>Obese</v>
      </c>
    </row>
    <row r="591" spans="1:12" x14ac:dyDescent="0.2">
      <c r="A591">
        <v>590</v>
      </c>
      <c r="B591">
        <v>0</v>
      </c>
      <c r="C591">
        <v>73</v>
      </c>
      <c r="D591">
        <v>121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>
        <v>0</v>
      </c>
      <c r="K591" t="str">
        <f t="shared" si="18"/>
        <v>Young</v>
      </c>
      <c r="L591" t="str">
        <f t="shared" si="19"/>
        <v>Normal</v>
      </c>
    </row>
    <row r="592" spans="1:12" x14ac:dyDescent="0.2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>
        <v>1</v>
      </c>
      <c r="K592" t="str">
        <f t="shared" si="18"/>
        <v>Senior</v>
      </c>
      <c r="L592" t="str">
        <f t="shared" si="19"/>
        <v>Obese</v>
      </c>
    </row>
    <row r="593" spans="1:12" x14ac:dyDescent="0.2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>
        <v>0</v>
      </c>
      <c r="K593" t="str">
        <f t="shared" si="18"/>
        <v>Young</v>
      </c>
      <c r="L593" t="str">
        <f t="shared" si="19"/>
        <v>Obese</v>
      </c>
    </row>
    <row r="594" spans="1:12" x14ac:dyDescent="0.2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>
        <v>1</v>
      </c>
      <c r="K594" t="str">
        <f t="shared" si="18"/>
        <v>Middle-Aged</v>
      </c>
      <c r="L594" t="str">
        <f t="shared" si="19"/>
        <v>Obese</v>
      </c>
    </row>
    <row r="595" spans="1:12" x14ac:dyDescent="0.2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>
        <v>0</v>
      </c>
      <c r="K595" t="str">
        <f t="shared" si="18"/>
        <v>Young</v>
      </c>
      <c r="L595" t="str">
        <f t="shared" si="19"/>
        <v>Overweight</v>
      </c>
    </row>
    <row r="596" spans="1:12" x14ac:dyDescent="0.2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>
        <v>0</v>
      </c>
      <c r="K596" t="str">
        <f t="shared" si="18"/>
        <v>Middle-Aged</v>
      </c>
      <c r="L596" t="str">
        <f t="shared" si="19"/>
        <v>Obese</v>
      </c>
    </row>
    <row r="597" spans="1:12" x14ac:dyDescent="0.2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>
        <v>1</v>
      </c>
      <c r="K597" t="str">
        <f t="shared" si="18"/>
        <v>Young</v>
      </c>
      <c r="L597" t="str">
        <f t="shared" si="19"/>
        <v>Obese</v>
      </c>
    </row>
    <row r="598" spans="1:12" x14ac:dyDescent="0.2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>
        <v>0</v>
      </c>
      <c r="K598" t="str">
        <f t="shared" si="18"/>
        <v>Senior</v>
      </c>
      <c r="L598" t="str">
        <f t="shared" si="19"/>
        <v>Obese</v>
      </c>
    </row>
    <row r="599" spans="1:12" x14ac:dyDescent="0.2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>
        <v>0</v>
      </c>
      <c r="K599" t="str">
        <f t="shared" si="18"/>
        <v>Young</v>
      </c>
      <c r="L599" t="str">
        <f t="shared" si="19"/>
        <v>Overweight</v>
      </c>
    </row>
    <row r="600" spans="1:12" x14ac:dyDescent="0.2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>
        <v>1</v>
      </c>
      <c r="K600" t="str">
        <f t="shared" si="18"/>
        <v>Middle-Aged</v>
      </c>
      <c r="L600" t="str">
        <f t="shared" si="19"/>
        <v>Obese</v>
      </c>
    </row>
    <row r="601" spans="1:12" x14ac:dyDescent="0.2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>
        <v>0</v>
      </c>
      <c r="K601" t="str">
        <f t="shared" si="18"/>
        <v>Young</v>
      </c>
      <c r="L601" t="str">
        <f t="shared" si="19"/>
        <v>Normal</v>
      </c>
    </row>
    <row r="602" spans="1:12" x14ac:dyDescent="0.2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>
        <v>0</v>
      </c>
      <c r="K602" t="str">
        <f t="shared" si="18"/>
        <v>Young</v>
      </c>
      <c r="L602" t="str">
        <f t="shared" si="19"/>
        <v>Overweight</v>
      </c>
    </row>
    <row r="603" spans="1:12" x14ac:dyDescent="0.2">
      <c r="A603">
        <v>602</v>
      </c>
      <c r="B603">
        <v>6</v>
      </c>
      <c r="C603">
        <v>96</v>
      </c>
      <c r="D603">
        <v>121</v>
      </c>
      <c r="E603">
        <v>0</v>
      </c>
      <c r="F603">
        <v>0</v>
      </c>
      <c r="G603">
        <v>23.7</v>
      </c>
      <c r="H603">
        <v>0.19</v>
      </c>
      <c r="I603">
        <v>28</v>
      </c>
      <c r="J603">
        <v>0</v>
      </c>
      <c r="K603" t="str">
        <f t="shared" si="18"/>
        <v>Young</v>
      </c>
      <c r="L603" t="str">
        <f t="shared" si="19"/>
        <v>Normal</v>
      </c>
    </row>
    <row r="604" spans="1:12" x14ac:dyDescent="0.2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>
        <v>0</v>
      </c>
      <c r="K604" t="str">
        <f t="shared" si="18"/>
        <v>Middle-Aged</v>
      </c>
      <c r="L604" t="str">
        <f t="shared" si="19"/>
        <v>Overweight</v>
      </c>
    </row>
    <row r="605" spans="1:12" x14ac:dyDescent="0.2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>
        <v>1</v>
      </c>
      <c r="K605" t="str">
        <f t="shared" si="18"/>
        <v>Senior</v>
      </c>
      <c r="L605" t="str">
        <f t="shared" si="19"/>
        <v>Obese</v>
      </c>
    </row>
    <row r="606" spans="1:12" x14ac:dyDescent="0.2">
      <c r="A606">
        <v>605</v>
      </c>
      <c r="B606">
        <v>4</v>
      </c>
      <c r="C606">
        <v>183</v>
      </c>
      <c r="D606">
        <v>121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>
        <v>1</v>
      </c>
      <c r="K606" t="str">
        <f t="shared" si="18"/>
        <v>Middle-Aged</v>
      </c>
      <c r="L606" t="str">
        <f t="shared" si="19"/>
        <v>Overweight</v>
      </c>
    </row>
    <row r="607" spans="1:12" x14ac:dyDescent="0.2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>
        <v>0</v>
      </c>
      <c r="K607" t="str">
        <f t="shared" si="18"/>
        <v>Young</v>
      </c>
      <c r="L607" t="str">
        <f t="shared" si="19"/>
        <v>Obese</v>
      </c>
    </row>
    <row r="608" spans="1:12" x14ac:dyDescent="0.2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>
        <v>1</v>
      </c>
      <c r="K608" t="str">
        <f t="shared" si="18"/>
        <v>Young</v>
      </c>
      <c r="L608" t="str">
        <f t="shared" si="19"/>
        <v>Obese</v>
      </c>
    </row>
    <row r="609" spans="1:12" x14ac:dyDescent="0.2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>
        <v>0</v>
      </c>
      <c r="K609" t="str">
        <f t="shared" si="18"/>
        <v>Young</v>
      </c>
      <c r="L609" t="str">
        <f t="shared" si="19"/>
        <v>Normal</v>
      </c>
    </row>
    <row r="610" spans="1:12" x14ac:dyDescent="0.2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>
        <v>0</v>
      </c>
      <c r="K610" t="str">
        <f t="shared" si="18"/>
        <v>Young</v>
      </c>
      <c r="L610" t="str">
        <f t="shared" si="19"/>
        <v>Obese</v>
      </c>
    </row>
    <row r="611" spans="1:12" x14ac:dyDescent="0.2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>
        <v>0</v>
      </c>
      <c r="K611" t="str">
        <f t="shared" si="18"/>
        <v>Young</v>
      </c>
      <c r="L611" t="str">
        <f t="shared" si="19"/>
        <v>Normal</v>
      </c>
    </row>
    <row r="612" spans="1:12" x14ac:dyDescent="0.2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>
        <v>0</v>
      </c>
      <c r="K612" t="str">
        <f t="shared" si="18"/>
        <v>Young</v>
      </c>
      <c r="L612" t="str">
        <f t="shared" si="19"/>
        <v>Obese</v>
      </c>
    </row>
    <row r="613" spans="1:12" x14ac:dyDescent="0.2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>
        <v>1</v>
      </c>
      <c r="K613" t="str">
        <f t="shared" si="18"/>
        <v>Middle-Aged</v>
      </c>
      <c r="L613" t="str">
        <f t="shared" si="19"/>
        <v>Obese</v>
      </c>
    </row>
    <row r="614" spans="1:12" x14ac:dyDescent="0.2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>
        <v>1</v>
      </c>
      <c r="K614" t="str">
        <f t="shared" si="18"/>
        <v>Middle-Aged</v>
      </c>
      <c r="L614" t="str">
        <f t="shared" si="19"/>
        <v>Obese</v>
      </c>
    </row>
    <row r="615" spans="1:12" x14ac:dyDescent="0.2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>
        <v>0</v>
      </c>
      <c r="K615" t="str">
        <f t="shared" si="18"/>
        <v>Young</v>
      </c>
      <c r="L615" t="str">
        <f t="shared" si="19"/>
        <v>Obese</v>
      </c>
    </row>
    <row r="616" spans="1:12" x14ac:dyDescent="0.2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>
        <v>1</v>
      </c>
      <c r="K616" t="str">
        <f t="shared" si="18"/>
        <v>Senior</v>
      </c>
      <c r="L616" t="str">
        <f t="shared" si="19"/>
        <v>Obese</v>
      </c>
    </row>
    <row r="617" spans="1:12" x14ac:dyDescent="0.2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>
        <v>0</v>
      </c>
      <c r="K617" t="str">
        <f t="shared" si="18"/>
        <v>Young</v>
      </c>
      <c r="L617" t="str">
        <f t="shared" si="19"/>
        <v>Overweight</v>
      </c>
    </row>
    <row r="618" spans="1:12" x14ac:dyDescent="0.2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>
        <v>0</v>
      </c>
      <c r="K618" t="str">
        <f t="shared" si="18"/>
        <v>Middle-Aged</v>
      </c>
      <c r="L618" t="str">
        <f t="shared" si="19"/>
        <v>Overweight</v>
      </c>
    </row>
    <row r="619" spans="1:12" x14ac:dyDescent="0.2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>
        <v>0</v>
      </c>
      <c r="K619" t="str">
        <f t="shared" si="18"/>
        <v>Young</v>
      </c>
      <c r="L619" t="str">
        <f t="shared" si="19"/>
        <v>Normal</v>
      </c>
    </row>
    <row r="620" spans="1:12" x14ac:dyDescent="0.2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>
        <v>1</v>
      </c>
      <c r="K620" t="str">
        <f t="shared" si="18"/>
        <v>Senior</v>
      </c>
      <c r="L620" t="str">
        <f t="shared" si="19"/>
        <v>Overweight</v>
      </c>
    </row>
    <row r="621" spans="1:12" x14ac:dyDescent="0.2">
      <c r="A621">
        <v>620</v>
      </c>
      <c r="B621">
        <v>0</v>
      </c>
      <c r="C621">
        <v>119</v>
      </c>
      <c r="D621">
        <v>121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>
        <v>1</v>
      </c>
      <c r="K621" t="str">
        <f t="shared" si="18"/>
        <v>Young</v>
      </c>
      <c r="L621" t="str">
        <f t="shared" si="19"/>
        <v>Obese</v>
      </c>
    </row>
    <row r="622" spans="1:12" x14ac:dyDescent="0.2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>
        <v>0</v>
      </c>
      <c r="K622" t="str">
        <f t="shared" si="18"/>
        <v>Young</v>
      </c>
      <c r="L622" t="str">
        <f t="shared" si="19"/>
        <v>Obese</v>
      </c>
    </row>
    <row r="623" spans="1:12" x14ac:dyDescent="0.2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>
        <v>0</v>
      </c>
      <c r="K623" t="str">
        <f t="shared" si="18"/>
        <v>Young</v>
      </c>
      <c r="L623" t="str">
        <f t="shared" si="19"/>
        <v>Normal</v>
      </c>
    </row>
    <row r="624" spans="1:12" x14ac:dyDescent="0.2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>
        <v>0</v>
      </c>
      <c r="K624" t="str">
        <f t="shared" si="18"/>
        <v>Senior</v>
      </c>
      <c r="L624" t="str">
        <f t="shared" si="19"/>
        <v>Obese</v>
      </c>
    </row>
    <row r="625" spans="1:12" x14ac:dyDescent="0.2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>
        <v>0</v>
      </c>
      <c r="K625" t="str">
        <f t="shared" si="18"/>
        <v>Young</v>
      </c>
      <c r="L625" t="str">
        <f t="shared" si="19"/>
        <v>Obese</v>
      </c>
    </row>
    <row r="626" spans="1:12" x14ac:dyDescent="0.2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>
        <v>0</v>
      </c>
      <c r="K626" t="str">
        <f t="shared" si="18"/>
        <v>Young</v>
      </c>
      <c r="L626" t="str">
        <f t="shared" si="19"/>
        <v>Obese</v>
      </c>
    </row>
    <row r="627" spans="1:12" x14ac:dyDescent="0.2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>
        <v>0</v>
      </c>
      <c r="K627" t="str">
        <f t="shared" si="18"/>
        <v>Young</v>
      </c>
      <c r="L627" t="str">
        <f t="shared" si="19"/>
        <v>Obese</v>
      </c>
    </row>
    <row r="628" spans="1:12" x14ac:dyDescent="0.2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>
        <v>0</v>
      </c>
      <c r="K628" t="str">
        <f t="shared" si="18"/>
        <v>Young</v>
      </c>
      <c r="L628" t="str">
        <f t="shared" si="19"/>
        <v>Normal</v>
      </c>
    </row>
    <row r="629" spans="1:12" x14ac:dyDescent="0.2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>
        <v>0</v>
      </c>
      <c r="K629" t="str">
        <f t="shared" si="18"/>
        <v>Young</v>
      </c>
      <c r="L629" t="str">
        <f t="shared" si="19"/>
        <v>Obese</v>
      </c>
    </row>
    <row r="630" spans="1:12" x14ac:dyDescent="0.2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>
        <v>0</v>
      </c>
      <c r="K630" t="str">
        <f t="shared" si="18"/>
        <v>Senior</v>
      </c>
      <c r="L630" t="str">
        <f t="shared" si="19"/>
        <v>Obese</v>
      </c>
    </row>
    <row r="631" spans="1:12" x14ac:dyDescent="0.2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>
        <v>0</v>
      </c>
      <c r="K631" t="str">
        <f t="shared" si="18"/>
        <v>Young</v>
      </c>
      <c r="L631" t="str">
        <f t="shared" si="19"/>
        <v>Normal</v>
      </c>
    </row>
    <row r="632" spans="1:12" x14ac:dyDescent="0.2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>
        <v>1</v>
      </c>
      <c r="K632" t="str">
        <f t="shared" si="18"/>
        <v>Middle-Aged</v>
      </c>
      <c r="L632" t="str">
        <f t="shared" si="19"/>
        <v>Overweight</v>
      </c>
    </row>
    <row r="633" spans="1:12" x14ac:dyDescent="0.2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>
        <v>0</v>
      </c>
      <c r="K633" t="str">
        <f t="shared" si="18"/>
        <v>Young</v>
      </c>
      <c r="L633" t="str">
        <f t="shared" si="19"/>
        <v>Obese</v>
      </c>
    </row>
    <row r="634" spans="1:12" x14ac:dyDescent="0.2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>
        <v>0</v>
      </c>
      <c r="K634" t="str">
        <f t="shared" si="18"/>
        <v>Young</v>
      </c>
      <c r="L634" t="str">
        <f t="shared" si="19"/>
        <v>Overweight</v>
      </c>
    </row>
    <row r="635" spans="1:12" x14ac:dyDescent="0.2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>
        <v>0</v>
      </c>
      <c r="K635" t="str">
        <f t="shared" si="18"/>
        <v>Young</v>
      </c>
      <c r="L635" t="str">
        <f t="shared" si="19"/>
        <v>Overweight</v>
      </c>
    </row>
    <row r="636" spans="1:12" x14ac:dyDescent="0.2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>
        <v>0</v>
      </c>
      <c r="K636" t="str">
        <f t="shared" si="18"/>
        <v>Middle-Aged</v>
      </c>
      <c r="L636" t="str">
        <f t="shared" si="19"/>
        <v>Overweight</v>
      </c>
    </row>
    <row r="637" spans="1:12" x14ac:dyDescent="0.2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>
        <v>1</v>
      </c>
      <c r="K637" t="str">
        <f t="shared" si="18"/>
        <v>Middle-Aged</v>
      </c>
      <c r="L637" t="str">
        <f t="shared" si="19"/>
        <v>Obese</v>
      </c>
    </row>
    <row r="638" spans="1:12" x14ac:dyDescent="0.2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>
        <v>0</v>
      </c>
      <c r="K638" t="str">
        <f t="shared" si="18"/>
        <v>Senior</v>
      </c>
      <c r="L638" t="str">
        <f t="shared" si="19"/>
        <v>Overweight</v>
      </c>
    </row>
    <row r="639" spans="1:12" x14ac:dyDescent="0.2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>
        <v>0</v>
      </c>
      <c r="K639" t="str">
        <f t="shared" si="18"/>
        <v>Young</v>
      </c>
      <c r="L639" t="str">
        <f t="shared" si="19"/>
        <v>Obese</v>
      </c>
    </row>
    <row r="640" spans="1:12" x14ac:dyDescent="0.2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>
        <v>1</v>
      </c>
      <c r="K640" t="str">
        <f t="shared" si="18"/>
        <v>Middle-Aged</v>
      </c>
      <c r="L640" t="str">
        <f t="shared" si="19"/>
        <v>Obese</v>
      </c>
    </row>
    <row r="641" spans="1:12" x14ac:dyDescent="0.2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>
        <v>0</v>
      </c>
      <c r="K641" t="str">
        <f t="shared" si="18"/>
        <v>Young</v>
      </c>
      <c r="L641" t="str">
        <f t="shared" si="19"/>
        <v>Normal</v>
      </c>
    </row>
    <row r="642" spans="1:12" x14ac:dyDescent="0.2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>
        <v>0</v>
      </c>
      <c r="K642" t="str">
        <f t="shared" si="18"/>
        <v>Young</v>
      </c>
      <c r="L642" t="str">
        <f t="shared" si="19"/>
        <v>Overweight</v>
      </c>
    </row>
    <row r="643" spans="1:12" x14ac:dyDescent="0.2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>
        <v>0</v>
      </c>
      <c r="K643" t="str">
        <f t="shared" ref="K643:K706" si="20">IF(I643&lt;30, "Young", IF( I643&lt;45, "Middle-Aged", "Senior"))</f>
        <v>Young</v>
      </c>
      <c r="L643" t="str">
        <f t="shared" ref="L643:L706" si="21">IF(G643&lt;18.5, "Underweight", IF(G643&lt;25, "Normal", IF(G643&lt;30, "Overweight", "Obese")))</f>
        <v>Obese</v>
      </c>
    </row>
    <row r="644" spans="1:12" x14ac:dyDescent="0.2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>
        <v>1</v>
      </c>
      <c r="K644" t="str">
        <f t="shared" si="20"/>
        <v>Senior</v>
      </c>
      <c r="L644" t="str">
        <f t="shared" si="21"/>
        <v>Overweight</v>
      </c>
    </row>
    <row r="645" spans="1:12" x14ac:dyDescent="0.2">
      <c r="A645">
        <v>644</v>
      </c>
      <c r="B645">
        <v>4</v>
      </c>
      <c r="C645">
        <v>90</v>
      </c>
      <c r="D645">
        <v>121</v>
      </c>
      <c r="E645">
        <v>0</v>
      </c>
      <c r="F645">
        <v>0</v>
      </c>
      <c r="G645">
        <v>28</v>
      </c>
      <c r="H645">
        <v>0.61</v>
      </c>
      <c r="I645">
        <v>31</v>
      </c>
      <c r="J645">
        <v>0</v>
      </c>
      <c r="K645" t="str">
        <f t="shared" si="20"/>
        <v>Middle-Aged</v>
      </c>
      <c r="L645" t="str">
        <f t="shared" si="21"/>
        <v>Overweight</v>
      </c>
    </row>
    <row r="646" spans="1:12" x14ac:dyDescent="0.2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>
        <v>0</v>
      </c>
      <c r="K646" t="str">
        <f t="shared" si="20"/>
        <v>Young</v>
      </c>
      <c r="L646" t="str">
        <f t="shared" si="21"/>
        <v>Overweight</v>
      </c>
    </row>
    <row r="647" spans="1:12" x14ac:dyDescent="0.2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>
        <v>0</v>
      </c>
      <c r="K647" t="str">
        <f t="shared" si="20"/>
        <v>Middle-Aged</v>
      </c>
      <c r="L647" t="str">
        <f t="shared" si="21"/>
        <v>Obese</v>
      </c>
    </row>
    <row r="648" spans="1:12" x14ac:dyDescent="0.2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>
        <v>1</v>
      </c>
      <c r="K648" t="str">
        <f t="shared" si="20"/>
        <v>Middle-Aged</v>
      </c>
      <c r="L648" t="str">
        <f t="shared" si="21"/>
        <v>Normal</v>
      </c>
    </row>
    <row r="649" spans="1:12" x14ac:dyDescent="0.2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>
        <v>1</v>
      </c>
      <c r="K649" t="str">
        <f t="shared" si="20"/>
        <v>Young</v>
      </c>
      <c r="L649" t="str">
        <f t="shared" si="21"/>
        <v>Obese</v>
      </c>
    </row>
    <row r="650" spans="1:12" x14ac:dyDescent="0.2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>
        <v>1</v>
      </c>
      <c r="K650" t="str">
        <f t="shared" si="20"/>
        <v>Middle-Aged</v>
      </c>
      <c r="L650" t="str">
        <f t="shared" si="21"/>
        <v>Overweight</v>
      </c>
    </row>
    <row r="651" spans="1:12" x14ac:dyDescent="0.2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>
        <v>0</v>
      </c>
      <c r="K651" t="str">
        <f t="shared" si="20"/>
        <v>Young</v>
      </c>
      <c r="L651" t="str">
        <f t="shared" si="21"/>
        <v>Overweight</v>
      </c>
    </row>
    <row r="652" spans="1:12" x14ac:dyDescent="0.2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>
        <v>0</v>
      </c>
      <c r="K652" t="str">
        <f t="shared" si="20"/>
        <v>Young</v>
      </c>
      <c r="L652" t="str">
        <f t="shared" si="21"/>
        <v>Overweight</v>
      </c>
    </row>
    <row r="653" spans="1:12" x14ac:dyDescent="0.2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>
        <v>0</v>
      </c>
      <c r="K653" t="str">
        <f t="shared" si="20"/>
        <v>Young</v>
      </c>
      <c r="L653" t="str">
        <f t="shared" si="21"/>
        <v>Obese</v>
      </c>
    </row>
    <row r="654" spans="1:12" x14ac:dyDescent="0.2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>
        <v>0</v>
      </c>
      <c r="K654" t="str">
        <f t="shared" si="20"/>
        <v>Young</v>
      </c>
      <c r="L654" t="str">
        <f t="shared" si="21"/>
        <v>Obese</v>
      </c>
    </row>
    <row r="655" spans="1:12" x14ac:dyDescent="0.2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>
        <v>0</v>
      </c>
      <c r="K655" t="str">
        <f t="shared" si="20"/>
        <v>Young</v>
      </c>
      <c r="L655" t="str">
        <f t="shared" si="21"/>
        <v>Overweight</v>
      </c>
    </row>
    <row r="656" spans="1:12" x14ac:dyDescent="0.2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>
        <v>0</v>
      </c>
      <c r="K656" t="str">
        <f t="shared" si="20"/>
        <v>Young</v>
      </c>
      <c r="L656" t="str">
        <f t="shared" si="21"/>
        <v>Obese</v>
      </c>
    </row>
    <row r="657" spans="1:12" x14ac:dyDescent="0.2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>
        <v>1</v>
      </c>
      <c r="K657" t="str">
        <f t="shared" si="20"/>
        <v>Young</v>
      </c>
      <c r="L657" t="str">
        <f t="shared" si="21"/>
        <v>Obese</v>
      </c>
    </row>
    <row r="658" spans="1:12" x14ac:dyDescent="0.2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>
        <v>0</v>
      </c>
      <c r="K658" t="str">
        <f t="shared" si="20"/>
        <v>Young</v>
      </c>
      <c r="L658" t="str">
        <f t="shared" si="21"/>
        <v>Normal</v>
      </c>
    </row>
    <row r="659" spans="1:12" x14ac:dyDescent="0.2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>
        <v>0</v>
      </c>
      <c r="K659" t="str">
        <f t="shared" si="20"/>
        <v>Middle-Aged</v>
      </c>
      <c r="L659" t="str">
        <f t="shared" si="21"/>
        <v>Obese</v>
      </c>
    </row>
    <row r="660" spans="1:12" x14ac:dyDescent="0.2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>
        <v>0</v>
      </c>
      <c r="K660" t="str">
        <f t="shared" si="20"/>
        <v>Senior</v>
      </c>
      <c r="L660" t="str">
        <f t="shared" si="21"/>
        <v>Obese</v>
      </c>
    </row>
    <row r="661" spans="1:12" x14ac:dyDescent="0.2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>
        <v>1</v>
      </c>
      <c r="K661" t="str">
        <f t="shared" si="20"/>
        <v>Young</v>
      </c>
      <c r="L661" t="str">
        <f t="shared" si="21"/>
        <v>Obese</v>
      </c>
    </row>
    <row r="662" spans="1:12" x14ac:dyDescent="0.2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>
        <v>0</v>
      </c>
      <c r="K662" t="str">
        <f t="shared" si="20"/>
        <v>Senior</v>
      </c>
      <c r="L662" t="str">
        <f t="shared" si="21"/>
        <v>Overweight</v>
      </c>
    </row>
    <row r="663" spans="1:12" x14ac:dyDescent="0.2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>
        <v>1</v>
      </c>
      <c r="K663" t="str">
        <f t="shared" si="20"/>
        <v>Young</v>
      </c>
      <c r="L663" t="str">
        <f t="shared" si="21"/>
        <v>Obese</v>
      </c>
    </row>
    <row r="664" spans="1:12" x14ac:dyDescent="0.2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>
        <v>1</v>
      </c>
      <c r="K664" t="str">
        <f t="shared" si="20"/>
        <v>Middle-Aged</v>
      </c>
      <c r="L664" t="str">
        <f t="shared" si="21"/>
        <v>Obese</v>
      </c>
    </row>
    <row r="665" spans="1:12" x14ac:dyDescent="0.2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>
        <v>1</v>
      </c>
      <c r="K665" t="str">
        <f t="shared" si="20"/>
        <v>Middle-Aged</v>
      </c>
      <c r="L665" t="str">
        <f t="shared" si="21"/>
        <v>Obese</v>
      </c>
    </row>
    <row r="666" spans="1:12" x14ac:dyDescent="0.2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>
        <v>1</v>
      </c>
      <c r="K666" t="str">
        <f t="shared" si="20"/>
        <v>Middle-Aged</v>
      </c>
      <c r="L666" t="str">
        <f t="shared" si="21"/>
        <v>Obese</v>
      </c>
    </row>
    <row r="667" spans="1:12" x14ac:dyDescent="0.2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>
        <v>0</v>
      </c>
      <c r="K667" t="str">
        <f t="shared" si="20"/>
        <v>Young</v>
      </c>
      <c r="L667" t="str">
        <f t="shared" si="21"/>
        <v>Obese</v>
      </c>
    </row>
    <row r="668" spans="1:12" x14ac:dyDescent="0.2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>
        <v>1</v>
      </c>
      <c r="K668" t="str">
        <f t="shared" si="20"/>
        <v>Senior</v>
      </c>
      <c r="L668" t="str">
        <f t="shared" si="21"/>
        <v>Obese</v>
      </c>
    </row>
    <row r="669" spans="1:12" x14ac:dyDescent="0.2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>
        <v>1</v>
      </c>
      <c r="K669" t="str">
        <f t="shared" si="20"/>
        <v>Middle-Aged</v>
      </c>
      <c r="L669" t="str">
        <f t="shared" si="21"/>
        <v>Overweight</v>
      </c>
    </row>
    <row r="670" spans="1:12" x14ac:dyDescent="0.2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>
        <v>0</v>
      </c>
      <c r="K670" t="str">
        <f t="shared" si="20"/>
        <v>Middle-Aged</v>
      </c>
      <c r="L670" t="str">
        <f t="shared" si="21"/>
        <v>Obese</v>
      </c>
    </row>
    <row r="671" spans="1:12" x14ac:dyDescent="0.2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>
        <v>0</v>
      </c>
      <c r="K671" t="str">
        <f t="shared" si="20"/>
        <v>Senior</v>
      </c>
      <c r="L671" t="str">
        <f t="shared" si="21"/>
        <v>Obese</v>
      </c>
    </row>
    <row r="672" spans="1:12" x14ac:dyDescent="0.2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>
        <v>0</v>
      </c>
      <c r="K672" t="str">
        <f t="shared" si="20"/>
        <v>Senior</v>
      </c>
      <c r="L672" t="str">
        <f t="shared" si="21"/>
        <v>Obese</v>
      </c>
    </row>
    <row r="673" spans="1:12" x14ac:dyDescent="0.2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>
        <v>0</v>
      </c>
      <c r="K673" t="str">
        <f t="shared" si="20"/>
        <v>Young</v>
      </c>
      <c r="L673" t="str">
        <f t="shared" si="21"/>
        <v>Overweight</v>
      </c>
    </row>
    <row r="674" spans="1:12" x14ac:dyDescent="0.2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>
        <v>0</v>
      </c>
      <c r="K674" t="str">
        <f t="shared" si="20"/>
        <v>Senior</v>
      </c>
      <c r="L674" t="str">
        <f t="shared" si="21"/>
        <v>Obese</v>
      </c>
    </row>
    <row r="675" spans="1:12" x14ac:dyDescent="0.2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>
        <v>0</v>
      </c>
      <c r="K675" t="str">
        <f t="shared" si="20"/>
        <v>Young</v>
      </c>
      <c r="L675" t="str">
        <f t="shared" si="21"/>
        <v>Obese</v>
      </c>
    </row>
    <row r="676" spans="1:12" x14ac:dyDescent="0.2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>
        <v>0</v>
      </c>
      <c r="K676" t="str">
        <f t="shared" si="20"/>
        <v>Senior</v>
      </c>
      <c r="L676" t="str">
        <f t="shared" si="21"/>
        <v>Obese</v>
      </c>
    </row>
    <row r="677" spans="1:12" x14ac:dyDescent="0.2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>
        <v>1</v>
      </c>
      <c r="K677" t="str">
        <f t="shared" si="20"/>
        <v>Middle-Aged</v>
      </c>
      <c r="L677" t="str">
        <f t="shared" si="21"/>
        <v>Obese</v>
      </c>
    </row>
    <row r="678" spans="1:12" x14ac:dyDescent="0.2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>
        <v>1</v>
      </c>
      <c r="K678" t="str">
        <f t="shared" si="20"/>
        <v>Senior</v>
      </c>
      <c r="L678" t="str">
        <f t="shared" si="21"/>
        <v>Normal</v>
      </c>
    </row>
    <row r="679" spans="1:12" x14ac:dyDescent="0.2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>
        <v>0</v>
      </c>
      <c r="K679" t="str">
        <f t="shared" si="20"/>
        <v>Young</v>
      </c>
      <c r="L679" t="str">
        <f t="shared" si="21"/>
        <v>Obese</v>
      </c>
    </row>
    <row r="680" spans="1:12" x14ac:dyDescent="0.2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>
        <v>1</v>
      </c>
      <c r="K680" t="str">
        <f t="shared" si="20"/>
        <v>Young</v>
      </c>
      <c r="L680" t="str">
        <f t="shared" si="21"/>
        <v>Obese</v>
      </c>
    </row>
    <row r="681" spans="1:12" x14ac:dyDescent="0.2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>
        <v>0</v>
      </c>
      <c r="K681" t="str">
        <f t="shared" si="20"/>
        <v>Young</v>
      </c>
      <c r="L681" t="str">
        <f t="shared" si="21"/>
        <v>Normal</v>
      </c>
    </row>
    <row r="682" spans="1:12" x14ac:dyDescent="0.2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>
        <v>0</v>
      </c>
      <c r="K682" t="str">
        <f t="shared" si="20"/>
        <v>Young</v>
      </c>
      <c r="L682" t="str">
        <f t="shared" si="21"/>
        <v>Normal</v>
      </c>
    </row>
    <row r="683" spans="1:12" x14ac:dyDescent="0.2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>
        <v>1</v>
      </c>
      <c r="K683" t="str">
        <f t="shared" si="20"/>
        <v>Young</v>
      </c>
      <c r="L683" t="str">
        <f t="shared" si="21"/>
        <v>Obese</v>
      </c>
    </row>
    <row r="684" spans="1:12" x14ac:dyDescent="0.2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>
        <v>0</v>
      </c>
      <c r="K684" t="str">
        <f t="shared" si="20"/>
        <v>Young</v>
      </c>
      <c r="L684" t="str">
        <f t="shared" si="21"/>
        <v>Obese</v>
      </c>
    </row>
    <row r="685" spans="1:12" x14ac:dyDescent="0.2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>
        <v>1</v>
      </c>
      <c r="K685" t="str">
        <f t="shared" si="20"/>
        <v>Young</v>
      </c>
      <c r="L685" t="str">
        <f t="shared" si="21"/>
        <v>Obese</v>
      </c>
    </row>
    <row r="686" spans="1:12" x14ac:dyDescent="0.2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121</v>
      </c>
      <c r="H686">
        <v>0.64</v>
      </c>
      <c r="I686">
        <v>69</v>
      </c>
      <c r="J686">
        <v>0</v>
      </c>
      <c r="K686" t="str">
        <f t="shared" si="20"/>
        <v>Senior</v>
      </c>
      <c r="L686" t="str">
        <f t="shared" si="21"/>
        <v>Obese</v>
      </c>
    </row>
    <row r="687" spans="1:12" x14ac:dyDescent="0.2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>
        <v>0</v>
      </c>
      <c r="K687" t="str">
        <f t="shared" si="20"/>
        <v>Young</v>
      </c>
      <c r="L687" t="str">
        <f t="shared" si="21"/>
        <v>Obese</v>
      </c>
    </row>
    <row r="688" spans="1:12" x14ac:dyDescent="0.2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>
        <v>0</v>
      </c>
      <c r="K688" t="str">
        <f t="shared" si="20"/>
        <v>Young</v>
      </c>
      <c r="L688" t="str">
        <f t="shared" si="21"/>
        <v>Normal</v>
      </c>
    </row>
    <row r="689" spans="1:12" x14ac:dyDescent="0.2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>
        <v>0</v>
      </c>
      <c r="K689" t="str">
        <f t="shared" si="20"/>
        <v>Young</v>
      </c>
      <c r="L689" t="str">
        <f t="shared" si="21"/>
        <v>Overweight</v>
      </c>
    </row>
    <row r="690" spans="1:12" x14ac:dyDescent="0.2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>
        <v>0</v>
      </c>
      <c r="K690" t="str">
        <f t="shared" si="20"/>
        <v>Young</v>
      </c>
      <c r="L690" t="str">
        <f t="shared" si="21"/>
        <v>Normal</v>
      </c>
    </row>
    <row r="691" spans="1:12" x14ac:dyDescent="0.2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>
        <v>1</v>
      </c>
      <c r="K691" t="str">
        <f t="shared" si="20"/>
        <v>Senior</v>
      </c>
      <c r="L691" t="str">
        <f t="shared" si="21"/>
        <v>Obese</v>
      </c>
    </row>
    <row r="692" spans="1:12" x14ac:dyDescent="0.2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>
        <v>0</v>
      </c>
      <c r="K692" t="str">
        <f t="shared" si="20"/>
        <v>Middle-Aged</v>
      </c>
      <c r="L692" t="str">
        <f t="shared" si="21"/>
        <v>Normal</v>
      </c>
    </row>
    <row r="693" spans="1:12" x14ac:dyDescent="0.2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>
        <v>1</v>
      </c>
      <c r="K693" t="str">
        <f t="shared" si="20"/>
        <v>Middle-Aged</v>
      </c>
      <c r="L693" t="str">
        <f t="shared" si="21"/>
        <v>Obese</v>
      </c>
    </row>
    <row r="694" spans="1:12" x14ac:dyDescent="0.2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>
        <v>0</v>
      </c>
      <c r="K694" t="str">
        <f t="shared" si="20"/>
        <v>Young</v>
      </c>
      <c r="L694" t="str">
        <f t="shared" si="21"/>
        <v>Obese</v>
      </c>
    </row>
    <row r="695" spans="1:12" x14ac:dyDescent="0.2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>
        <v>1</v>
      </c>
      <c r="K695" t="str">
        <f t="shared" si="20"/>
        <v>Middle-Aged</v>
      </c>
      <c r="L695" t="str">
        <f t="shared" si="21"/>
        <v>Obese</v>
      </c>
    </row>
    <row r="696" spans="1:12" x14ac:dyDescent="0.2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>
        <v>0</v>
      </c>
      <c r="K696" t="str">
        <f t="shared" si="20"/>
        <v>Young</v>
      </c>
      <c r="L696" t="str">
        <f t="shared" si="21"/>
        <v>Normal</v>
      </c>
    </row>
    <row r="697" spans="1:12" x14ac:dyDescent="0.2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>
        <v>1</v>
      </c>
      <c r="K697" t="str">
        <f t="shared" si="20"/>
        <v>Middle-Aged</v>
      </c>
      <c r="L697" t="str">
        <f t="shared" si="21"/>
        <v>Obese</v>
      </c>
    </row>
    <row r="698" spans="1:12" x14ac:dyDescent="0.2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>
        <v>1</v>
      </c>
      <c r="K698" t="str">
        <f t="shared" si="20"/>
        <v>Middle-Aged</v>
      </c>
      <c r="L698" t="str">
        <f t="shared" si="21"/>
        <v>Overweight</v>
      </c>
    </row>
    <row r="699" spans="1:12" x14ac:dyDescent="0.2">
      <c r="A699">
        <v>698</v>
      </c>
      <c r="B699">
        <v>0</v>
      </c>
      <c r="C699">
        <v>99</v>
      </c>
      <c r="D699">
        <v>121</v>
      </c>
      <c r="E699">
        <v>0</v>
      </c>
      <c r="F699">
        <v>0</v>
      </c>
      <c r="G699">
        <v>25</v>
      </c>
      <c r="H699">
        <v>0.253</v>
      </c>
      <c r="I699">
        <v>22</v>
      </c>
      <c r="J699">
        <v>0</v>
      </c>
      <c r="K699" t="str">
        <f t="shared" si="20"/>
        <v>Young</v>
      </c>
      <c r="L699" t="str">
        <f t="shared" si="21"/>
        <v>Overweight</v>
      </c>
    </row>
    <row r="700" spans="1:12" x14ac:dyDescent="0.2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>
        <v>0</v>
      </c>
      <c r="K700" t="str">
        <f t="shared" si="20"/>
        <v>Young</v>
      </c>
      <c r="L700" t="str">
        <f t="shared" si="21"/>
        <v>Obese</v>
      </c>
    </row>
    <row r="701" spans="1:12" x14ac:dyDescent="0.2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>
        <v>0</v>
      </c>
      <c r="K701" t="str">
        <f t="shared" si="20"/>
        <v>Young</v>
      </c>
      <c r="L701" t="str">
        <f t="shared" si="21"/>
        <v>Obese</v>
      </c>
    </row>
    <row r="702" spans="1:12" x14ac:dyDescent="0.2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>
        <v>0</v>
      </c>
      <c r="K702" t="str">
        <f t="shared" si="20"/>
        <v>Young</v>
      </c>
      <c r="L702" t="str">
        <f t="shared" si="21"/>
        <v>Obese</v>
      </c>
    </row>
    <row r="703" spans="1:12" x14ac:dyDescent="0.2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>
        <v>1</v>
      </c>
      <c r="K703" t="str">
        <f t="shared" si="20"/>
        <v>Senior</v>
      </c>
      <c r="L703" t="str">
        <f t="shared" si="21"/>
        <v>Overweight</v>
      </c>
    </row>
    <row r="704" spans="1:12" x14ac:dyDescent="0.2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>
        <v>1</v>
      </c>
      <c r="K704" t="str">
        <f t="shared" si="20"/>
        <v>Senior</v>
      </c>
      <c r="L704" t="str">
        <f t="shared" si="21"/>
        <v>Obese</v>
      </c>
    </row>
    <row r="705" spans="1:12" x14ac:dyDescent="0.2">
      <c r="A705">
        <v>704</v>
      </c>
      <c r="B705">
        <v>2</v>
      </c>
      <c r="C705">
        <v>129</v>
      </c>
      <c r="D705">
        <v>121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>
        <v>0</v>
      </c>
      <c r="K705" t="str">
        <f t="shared" si="20"/>
        <v>Middle-Aged</v>
      </c>
      <c r="L705" t="str">
        <f t="shared" si="21"/>
        <v>Obese</v>
      </c>
    </row>
    <row r="706" spans="1:12" x14ac:dyDescent="0.2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>
        <v>0</v>
      </c>
      <c r="K706" t="str">
        <f t="shared" si="20"/>
        <v>Young</v>
      </c>
      <c r="L706" t="str">
        <f t="shared" si="21"/>
        <v>Overweight</v>
      </c>
    </row>
    <row r="707" spans="1:12" x14ac:dyDescent="0.2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>
        <v>0</v>
      </c>
      <c r="K707" t="str">
        <f t="shared" ref="K707:K770" si="22">IF(I707&lt;30, "Young", IF( I707&lt;45, "Middle-Aged", "Senior"))</f>
        <v>Young</v>
      </c>
      <c r="L707" t="str">
        <f t="shared" ref="L707:L770" si="23">IF(G707&lt;18.5, "Underweight", IF(G707&lt;25, "Normal", IF(G707&lt;30, "Overweight", "Obese")))</f>
        <v>Obese</v>
      </c>
    </row>
    <row r="708" spans="1:12" x14ac:dyDescent="0.2">
      <c r="A708">
        <v>707</v>
      </c>
      <c r="B708">
        <v>10</v>
      </c>
      <c r="C708">
        <v>115</v>
      </c>
      <c r="D708">
        <v>121</v>
      </c>
      <c r="E708">
        <v>0</v>
      </c>
      <c r="F708">
        <v>0</v>
      </c>
      <c r="G708">
        <v>121</v>
      </c>
      <c r="H708">
        <v>0.26100000000000001</v>
      </c>
      <c r="I708">
        <v>30</v>
      </c>
      <c r="J708">
        <v>1</v>
      </c>
      <c r="K708" t="str">
        <f t="shared" si="22"/>
        <v>Middle-Aged</v>
      </c>
      <c r="L708" t="str">
        <f t="shared" si="23"/>
        <v>Obese</v>
      </c>
    </row>
    <row r="709" spans="1:12" x14ac:dyDescent="0.2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>
        <v>0</v>
      </c>
      <c r="K709" t="str">
        <f t="shared" si="22"/>
        <v>Young</v>
      </c>
      <c r="L709" t="str">
        <f t="shared" si="23"/>
        <v>Obese</v>
      </c>
    </row>
    <row r="710" spans="1:12" x14ac:dyDescent="0.2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>
        <v>1</v>
      </c>
      <c r="K710" t="str">
        <f t="shared" si="22"/>
        <v>Senior</v>
      </c>
      <c r="L710" t="str">
        <f t="shared" si="23"/>
        <v>Obese</v>
      </c>
    </row>
    <row r="711" spans="1:12" x14ac:dyDescent="0.2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>
        <v>1</v>
      </c>
      <c r="K711" t="str">
        <f t="shared" si="22"/>
        <v>Young</v>
      </c>
      <c r="L711" t="str">
        <f t="shared" si="23"/>
        <v>Obese</v>
      </c>
    </row>
    <row r="712" spans="1:12" x14ac:dyDescent="0.2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>
        <v>0</v>
      </c>
      <c r="K712" t="str">
        <f t="shared" si="22"/>
        <v>Young</v>
      </c>
      <c r="L712" t="str">
        <f t="shared" si="23"/>
        <v>Obese</v>
      </c>
    </row>
    <row r="713" spans="1:12" x14ac:dyDescent="0.2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>
        <v>0</v>
      </c>
      <c r="K713" t="str">
        <f t="shared" si="22"/>
        <v>Middle-Aged</v>
      </c>
      <c r="L713" t="str">
        <f t="shared" si="23"/>
        <v>Overweight</v>
      </c>
    </row>
    <row r="714" spans="1:12" x14ac:dyDescent="0.2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>
        <v>1</v>
      </c>
      <c r="K714" t="str">
        <f t="shared" si="22"/>
        <v>Middle-Aged</v>
      </c>
      <c r="L714" t="str">
        <f t="shared" si="23"/>
        <v>Obese</v>
      </c>
    </row>
    <row r="715" spans="1:12" x14ac:dyDescent="0.2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>
        <v>0</v>
      </c>
      <c r="K715" t="str">
        <f t="shared" si="22"/>
        <v>Young</v>
      </c>
      <c r="L715" t="str">
        <f t="shared" si="23"/>
        <v>Overweight</v>
      </c>
    </row>
    <row r="716" spans="1:12" x14ac:dyDescent="0.2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>
        <v>0</v>
      </c>
      <c r="K716" t="str">
        <f t="shared" si="22"/>
        <v>Middle-Aged</v>
      </c>
      <c r="L716" t="str">
        <f t="shared" si="23"/>
        <v>Overweight</v>
      </c>
    </row>
    <row r="717" spans="1:12" x14ac:dyDescent="0.2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>
        <v>1</v>
      </c>
      <c r="K717" t="str">
        <f t="shared" si="22"/>
        <v>Middle-Aged</v>
      </c>
      <c r="L717" t="str">
        <f t="shared" si="23"/>
        <v>Obese</v>
      </c>
    </row>
    <row r="718" spans="1:12" x14ac:dyDescent="0.2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>
        <v>1</v>
      </c>
      <c r="K718" t="str">
        <f t="shared" si="22"/>
        <v>Middle-Aged</v>
      </c>
      <c r="L718" t="str">
        <f t="shared" si="23"/>
        <v>Obese</v>
      </c>
    </row>
    <row r="719" spans="1:12" x14ac:dyDescent="0.2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>
        <v>0</v>
      </c>
      <c r="K719" t="str">
        <f t="shared" si="22"/>
        <v>Senior</v>
      </c>
      <c r="L719" t="str">
        <f t="shared" si="23"/>
        <v>Normal</v>
      </c>
    </row>
    <row r="720" spans="1:12" x14ac:dyDescent="0.2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>
        <v>0</v>
      </c>
      <c r="K720" t="str">
        <f t="shared" si="22"/>
        <v>Young</v>
      </c>
      <c r="L720" t="str">
        <f t="shared" si="23"/>
        <v>Obese</v>
      </c>
    </row>
    <row r="721" spans="1:12" x14ac:dyDescent="0.2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>
        <v>1</v>
      </c>
      <c r="K721" t="str">
        <f t="shared" si="22"/>
        <v>Senior</v>
      </c>
      <c r="L721" t="str">
        <f t="shared" si="23"/>
        <v>Obese</v>
      </c>
    </row>
    <row r="722" spans="1:12" x14ac:dyDescent="0.2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>
        <v>0</v>
      </c>
      <c r="K722" t="str">
        <f t="shared" si="22"/>
        <v>Middle-Aged</v>
      </c>
      <c r="L722" t="str">
        <f t="shared" si="23"/>
        <v>Overweight</v>
      </c>
    </row>
    <row r="723" spans="1:12" x14ac:dyDescent="0.2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>
        <v>0</v>
      </c>
      <c r="K723" t="str">
        <f t="shared" si="22"/>
        <v>Young</v>
      </c>
      <c r="L723" t="str">
        <f t="shared" si="23"/>
        <v>Obese</v>
      </c>
    </row>
    <row r="724" spans="1:12" x14ac:dyDescent="0.2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>
        <v>1</v>
      </c>
      <c r="K724" t="str">
        <f t="shared" si="22"/>
        <v>Middle-Aged</v>
      </c>
      <c r="L724" t="str">
        <f t="shared" si="23"/>
        <v>Overweight</v>
      </c>
    </row>
    <row r="725" spans="1:12" x14ac:dyDescent="0.2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>
        <v>0</v>
      </c>
      <c r="K725" t="str">
        <f t="shared" si="22"/>
        <v>Middle-Aged</v>
      </c>
      <c r="L725" t="str">
        <f t="shared" si="23"/>
        <v>Obese</v>
      </c>
    </row>
    <row r="726" spans="1:12" x14ac:dyDescent="0.2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>
        <v>0</v>
      </c>
      <c r="K726" t="str">
        <f t="shared" si="22"/>
        <v>Senior</v>
      </c>
      <c r="L726" t="str">
        <f t="shared" si="23"/>
        <v>Obese</v>
      </c>
    </row>
    <row r="727" spans="1:12" x14ac:dyDescent="0.2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>
        <v>0</v>
      </c>
      <c r="K727" t="str">
        <f t="shared" si="22"/>
        <v>Middle-Aged</v>
      </c>
      <c r="L727" t="str">
        <f t="shared" si="23"/>
        <v>Obese</v>
      </c>
    </row>
    <row r="728" spans="1:12" x14ac:dyDescent="0.2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>
        <v>0</v>
      </c>
      <c r="K728" t="str">
        <f t="shared" si="22"/>
        <v>Young</v>
      </c>
      <c r="L728" t="str">
        <f t="shared" si="23"/>
        <v>Obese</v>
      </c>
    </row>
    <row r="729" spans="1:12" x14ac:dyDescent="0.2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>
        <v>0</v>
      </c>
      <c r="K729" t="str">
        <f t="shared" si="22"/>
        <v>Young</v>
      </c>
      <c r="L729" t="str">
        <f t="shared" si="23"/>
        <v>Obese</v>
      </c>
    </row>
    <row r="730" spans="1:12" x14ac:dyDescent="0.2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>
        <v>0</v>
      </c>
      <c r="K730" t="str">
        <f t="shared" si="22"/>
        <v>Young</v>
      </c>
      <c r="L730" t="str">
        <f t="shared" si="23"/>
        <v>Normal</v>
      </c>
    </row>
    <row r="731" spans="1:12" x14ac:dyDescent="0.2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>
        <v>0</v>
      </c>
      <c r="K731" t="str">
        <f t="shared" si="22"/>
        <v>Young</v>
      </c>
      <c r="L731" t="str">
        <f t="shared" si="23"/>
        <v>Obese</v>
      </c>
    </row>
    <row r="732" spans="1:12" x14ac:dyDescent="0.2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>
        <v>1</v>
      </c>
      <c r="K732" t="str">
        <f t="shared" si="22"/>
        <v>Middle-Aged</v>
      </c>
      <c r="L732" t="str">
        <f t="shared" si="23"/>
        <v>Overweight</v>
      </c>
    </row>
    <row r="733" spans="1:12" x14ac:dyDescent="0.2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>
        <v>1</v>
      </c>
      <c r="K733" t="str">
        <f t="shared" si="22"/>
        <v>Young</v>
      </c>
      <c r="L733" t="str">
        <f t="shared" si="23"/>
        <v>Overweight</v>
      </c>
    </row>
    <row r="734" spans="1:12" x14ac:dyDescent="0.2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>
        <v>1</v>
      </c>
      <c r="K734" t="str">
        <f t="shared" si="22"/>
        <v>Young</v>
      </c>
      <c r="L734" t="str">
        <f t="shared" si="23"/>
        <v>Obese</v>
      </c>
    </row>
    <row r="735" spans="1:12" x14ac:dyDescent="0.2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>
        <v>0</v>
      </c>
      <c r="K735" t="str">
        <f t="shared" si="22"/>
        <v>Young</v>
      </c>
      <c r="L735" t="str">
        <f t="shared" si="23"/>
        <v>Overweight</v>
      </c>
    </row>
    <row r="736" spans="1:12" x14ac:dyDescent="0.2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>
        <v>0</v>
      </c>
      <c r="K736" t="str">
        <f t="shared" si="22"/>
        <v>Senior</v>
      </c>
      <c r="L736" t="str">
        <f t="shared" si="23"/>
        <v>Normal</v>
      </c>
    </row>
    <row r="737" spans="1:12" x14ac:dyDescent="0.2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>
        <v>0</v>
      </c>
      <c r="K737" t="str">
        <f t="shared" si="22"/>
        <v>Young</v>
      </c>
      <c r="L737" t="str">
        <f t="shared" si="23"/>
        <v>Obese</v>
      </c>
    </row>
    <row r="738" spans="1:12" x14ac:dyDescent="0.2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>
        <v>0</v>
      </c>
      <c r="K738" t="str">
        <f t="shared" si="22"/>
        <v>Young</v>
      </c>
      <c r="L738" t="str">
        <f t="shared" si="23"/>
        <v>Overweight</v>
      </c>
    </row>
    <row r="739" spans="1:12" x14ac:dyDescent="0.2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>
        <v>0</v>
      </c>
      <c r="K739" t="str">
        <f t="shared" si="22"/>
        <v>Middle-Aged</v>
      </c>
      <c r="L739" t="str">
        <f t="shared" si="23"/>
        <v>Obese</v>
      </c>
    </row>
    <row r="740" spans="1:12" x14ac:dyDescent="0.2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>
        <v>0</v>
      </c>
      <c r="K740" t="str">
        <f t="shared" si="22"/>
        <v>Young</v>
      </c>
      <c r="L740" t="str">
        <f t="shared" si="23"/>
        <v>Obese</v>
      </c>
    </row>
    <row r="741" spans="1:12" x14ac:dyDescent="0.2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>
        <v>1</v>
      </c>
      <c r="K741" t="str">
        <f t="shared" si="22"/>
        <v>Middle-Aged</v>
      </c>
      <c r="L741" t="str">
        <f t="shared" si="23"/>
        <v>Obese</v>
      </c>
    </row>
    <row r="742" spans="1:12" x14ac:dyDescent="0.2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>
        <v>1</v>
      </c>
      <c r="K742" t="str">
        <f t="shared" si="22"/>
        <v>Senior</v>
      </c>
      <c r="L742" t="str">
        <f t="shared" si="23"/>
        <v>Obese</v>
      </c>
    </row>
    <row r="743" spans="1:12" x14ac:dyDescent="0.2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>
        <v>0</v>
      </c>
      <c r="K743" t="str">
        <f t="shared" si="22"/>
        <v>Young</v>
      </c>
      <c r="L743" t="str">
        <f t="shared" si="23"/>
        <v>Obese</v>
      </c>
    </row>
    <row r="744" spans="1:12" x14ac:dyDescent="0.2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>
        <v>0</v>
      </c>
      <c r="K744" t="str">
        <f t="shared" si="22"/>
        <v>Young</v>
      </c>
      <c r="L744" t="str">
        <f t="shared" si="23"/>
        <v>Overweight</v>
      </c>
    </row>
    <row r="745" spans="1:12" x14ac:dyDescent="0.2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>
        <v>1</v>
      </c>
      <c r="K745" t="str">
        <f t="shared" si="22"/>
        <v>Senior</v>
      </c>
      <c r="L745" t="str">
        <f t="shared" si="23"/>
        <v>Obese</v>
      </c>
    </row>
    <row r="746" spans="1:12" x14ac:dyDescent="0.2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>
        <v>0</v>
      </c>
      <c r="K746" t="str">
        <f t="shared" si="22"/>
        <v>Middle-Aged</v>
      </c>
      <c r="L746" t="str">
        <f t="shared" si="23"/>
        <v>Obese</v>
      </c>
    </row>
    <row r="747" spans="1:12" x14ac:dyDescent="0.2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>
        <v>0</v>
      </c>
      <c r="K747" t="str">
        <f t="shared" si="22"/>
        <v>Senior</v>
      </c>
      <c r="L747" t="str">
        <f t="shared" si="23"/>
        <v>Obese</v>
      </c>
    </row>
    <row r="748" spans="1:12" x14ac:dyDescent="0.2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>
        <v>1</v>
      </c>
      <c r="K748" t="str">
        <f t="shared" si="22"/>
        <v>Young</v>
      </c>
      <c r="L748" t="str">
        <f t="shared" si="23"/>
        <v>Obese</v>
      </c>
    </row>
    <row r="749" spans="1:12" x14ac:dyDescent="0.2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>
        <v>0</v>
      </c>
      <c r="K749" t="str">
        <f t="shared" si="22"/>
        <v>Middle-Aged</v>
      </c>
      <c r="L749" t="str">
        <f t="shared" si="23"/>
        <v>Obese</v>
      </c>
    </row>
    <row r="750" spans="1:12" x14ac:dyDescent="0.2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>
        <v>1</v>
      </c>
      <c r="K750" t="str">
        <f t="shared" si="22"/>
        <v>Middle-Aged</v>
      </c>
      <c r="L750" t="str">
        <f t="shared" si="23"/>
        <v>Obese</v>
      </c>
    </row>
    <row r="751" spans="1:12" x14ac:dyDescent="0.2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>
        <v>1</v>
      </c>
      <c r="K751" t="str">
        <f t="shared" si="22"/>
        <v>Senior</v>
      </c>
      <c r="L751" t="str">
        <f t="shared" si="23"/>
        <v>Normal</v>
      </c>
    </row>
    <row r="752" spans="1:12" x14ac:dyDescent="0.2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>
        <v>1</v>
      </c>
      <c r="K752" t="str">
        <f t="shared" si="22"/>
        <v>Young</v>
      </c>
      <c r="L752" t="str">
        <f t="shared" si="23"/>
        <v>Obese</v>
      </c>
    </row>
    <row r="753" spans="1:12" x14ac:dyDescent="0.2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>
        <v>0</v>
      </c>
      <c r="K753" t="str">
        <f t="shared" si="22"/>
        <v>Young</v>
      </c>
      <c r="L753" t="str">
        <f t="shared" si="23"/>
        <v>Obese</v>
      </c>
    </row>
    <row r="754" spans="1:12" x14ac:dyDescent="0.2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>
        <v>0</v>
      </c>
      <c r="K754" t="str">
        <f t="shared" si="22"/>
        <v>Young</v>
      </c>
      <c r="L754" t="str">
        <f t="shared" si="23"/>
        <v>Overweight</v>
      </c>
    </row>
    <row r="755" spans="1:12" x14ac:dyDescent="0.2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>
        <v>1</v>
      </c>
      <c r="K755" t="str">
        <f t="shared" si="22"/>
        <v>Young</v>
      </c>
      <c r="L755" t="str">
        <f t="shared" si="23"/>
        <v>Obese</v>
      </c>
    </row>
    <row r="756" spans="1:12" x14ac:dyDescent="0.2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>
        <v>1</v>
      </c>
      <c r="K756" t="str">
        <f t="shared" si="22"/>
        <v>Senior</v>
      </c>
      <c r="L756" t="str">
        <f t="shared" si="23"/>
        <v>Obese</v>
      </c>
    </row>
    <row r="757" spans="1:12" x14ac:dyDescent="0.2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>
        <v>1</v>
      </c>
      <c r="K757" t="str">
        <f t="shared" si="22"/>
        <v>Middle-Aged</v>
      </c>
      <c r="L757" t="str">
        <f t="shared" si="23"/>
        <v>Obese</v>
      </c>
    </row>
    <row r="758" spans="1:12" x14ac:dyDescent="0.2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>
        <v>0</v>
      </c>
      <c r="K758" t="str">
        <f t="shared" si="22"/>
        <v>Middle-Aged</v>
      </c>
      <c r="L758" t="str">
        <f t="shared" si="23"/>
        <v>Obese</v>
      </c>
    </row>
    <row r="759" spans="1:12" x14ac:dyDescent="0.2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>
        <v>1</v>
      </c>
      <c r="K759" t="str">
        <f t="shared" si="22"/>
        <v>Senior</v>
      </c>
      <c r="L759" t="str">
        <f t="shared" si="23"/>
        <v>Obese</v>
      </c>
    </row>
    <row r="760" spans="1:12" x14ac:dyDescent="0.2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>
        <v>0</v>
      </c>
      <c r="K760" t="str">
        <f t="shared" si="22"/>
        <v>Young</v>
      </c>
      <c r="L760" t="str">
        <f t="shared" si="23"/>
        <v>Obese</v>
      </c>
    </row>
    <row r="761" spans="1:12" x14ac:dyDescent="0.2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>
        <v>1</v>
      </c>
      <c r="K761" t="str">
        <f t="shared" si="22"/>
        <v>Senior</v>
      </c>
      <c r="L761" t="str">
        <f t="shared" si="23"/>
        <v>Obese</v>
      </c>
    </row>
    <row r="762" spans="1:12" x14ac:dyDescent="0.2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>
        <v>0</v>
      </c>
      <c r="K762" t="str">
        <f t="shared" si="22"/>
        <v>Young</v>
      </c>
      <c r="L762" t="str">
        <f t="shared" si="23"/>
        <v>Overweight</v>
      </c>
    </row>
    <row r="763" spans="1:12" x14ac:dyDescent="0.2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>
        <v>1</v>
      </c>
      <c r="K763" t="str">
        <f t="shared" si="22"/>
        <v>Middle-Aged</v>
      </c>
      <c r="L763" t="str">
        <f t="shared" si="23"/>
        <v>Obese</v>
      </c>
    </row>
    <row r="764" spans="1:12" x14ac:dyDescent="0.2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>
        <v>0</v>
      </c>
      <c r="K764" t="str">
        <f t="shared" si="22"/>
        <v>Middle-Aged</v>
      </c>
      <c r="L764" t="str">
        <f t="shared" si="23"/>
        <v>Normal</v>
      </c>
    </row>
    <row r="765" spans="1:12" x14ac:dyDescent="0.2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>
        <v>0</v>
      </c>
      <c r="K765" t="str">
        <f t="shared" si="22"/>
        <v>Senior</v>
      </c>
      <c r="L765" t="str">
        <f t="shared" si="23"/>
        <v>Obese</v>
      </c>
    </row>
    <row r="766" spans="1:12" x14ac:dyDescent="0.2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>
        <v>0</v>
      </c>
      <c r="K766" t="str">
        <f t="shared" si="22"/>
        <v>Young</v>
      </c>
      <c r="L766" t="str">
        <f t="shared" si="23"/>
        <v>Obese</v>
      </c>
    </row>
    <row r="767" spans="1:12" x14ac:dyDescent="0.2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>
        <v>0</v>
      </c>
      <c r="K767" t="str">
        <f t="shared" si="22"/>
        <v>Middle-Aged</v>
      </c>
      <c r="L767" t="str">
        <f t="shared" si="23"/>
        <v>Overweight</v>
      </c>
    </row>
    <row r="768" spans="1:12" x14ac:dyDescent="0.2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>
        <v>1</v>
      </c>
      <c r="K768" t="str">
        <f t="shared" si="22"/>
        <v>Senior</v>
      </c>
      <c r="L768" t="str">
        <f t="shared" si="23"/>
        <v>Obese</v>
      </c>
    </row>
    <row r="769" spans="1:12" x14ac:dyDescent="0.2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>
        <v>0</v>
      </c>
      <c r="K769" t="str">
        <f t="shared" si="22"/>
        <v>Young</v>
      </c>
      <c r="L769" t="str">
        <f t="shared" si="23"/>
        <v>Obese</v>
      </c>
    </row>
    <row r="770" spans="1:12" x14ac:dyDescent="0.2">
      <c r="A770">
        <v>769</v>
      </c>
      <c r="B770">
        <v>2</v>
      </c>
      <c r="C770">
        <v>138</v>
      </c>
      <c r="D770">
        <v>62</v>
      </c>
      <c r="E770">
        <v>35</v>
      </c>
      <c r="F770">
        <v>0</v>
      </c>
      <c r="G770">
        <v>33.6</v>
      </c>
      <c r="H770">
        <v>0.127</v>
      </c>
      <c r="I770">
        <v>47</v>
      </c>
      <c r="J770">
        <v>1</v>
      </c>
      <c r="K770" t="str">
        <f t="shared" si="22"/>
        <v>Senior</v>
      </c>
      <c r="L770" t="str">
        <f t="shared" si="23"/>
        <v>Obese</v>
      </c>
    </row>
    <row r="771" spans="1:12" x14ac:dyDescent="0.2">
      <c r="A771">
        <v>770</v>
      </c>
      <c r="B771">
        <v>0</v>
      </c>
      <c r="C771">
        <v>84</v>
      </c>
      <c r="D771">
        <v>82</v>
      </c>
      <c r="E771">
        <v>31</v>
      </c>
      <c r="F771">
        <v>125</v>
      </c>
      <c r="G771">
        <v>38.200000000000003</v>
      </c>
      <c r="H771">
        <v>0.23300000000000001</v>
      </c>
      <c r="I771">
        <v>23</v>
      </c>
      <c r="J771">
        <v>0</v>
      </c>
      <c r="K771" t="str">
        <f t="shared" ref="K771:K834" si="24">IF(I771&lt;30, "Young", IF( I771&lt;45, "Middle-Aged", "Senior"))</f>
        <v>Young</v>
      </c>
      <c r="L771" t="str">
        <f t="shared" ref="L771:L834" si="25">IF(G771&lt;18.5, "Underweight", IF(G771&lt;25, "Normal", IF(G771&lt;30, "Overweight", "Obese")))</f>
        <v>Obese</v>
      </c>
    </row>
    <row r="772" spans="1:12" x14ac:dyDescent="0.2">
      <c r="A772">
        <v>771</v>
      </c>
      <c r="B772">
        <v>0</v>
      </c>
      <c r="C772">
        <v>145</v>
      </c>
      <c r="D772">
        <v>121</v>
      </c>
      <c r="E772">
        <v>0</v>
      </c>
      <c r="F772">
        <v>0</v>
      </c>
      <c r="G772">
        <v>44.2</v>
      </c>
      <c r="H772">
        <v>0.63</v>
      </c>
      <c r="I772">
        <v>31</v>
      </c>
      <c r="J772">
        <v>1</v>
      </c>
      <c r="K772" t="str">
        <f t="shared" si="24"/>
        <v>Middle-Aged</v>
      </c>
      <c r="L772" t="str">
        <f t="shared" si="25"/>
        <v>Obese</v>
      </c>
    </row>
    <row r="773" spans="1:12" x14ac:dyDescent="0.2">
      <c r="A773">
        <v>772</v>
      </c>
      <c r="B773">
        <v>0</v>
      </c>
      <c r="C773">
        <v>135</v>
      </c>
      <c r="D773">
        <v>68</v>
      </c>
      <c r="E773">
        <v>42</v>
      </c>
      <c r="F773">
        <v>250</v>
      </c>
      <c r="G773">
        <v>42.3</v>
      </c>
      <c r="H773">
        <v>0.36499999999999999</v>
      </c>
      <c r="I773">
        <v>24</v>
      </c>
      <c r="J773">
        <v>1</v>
      </c>
      <c r="K773" t="str">
        <f t="shared" si="24"/>
        <v>Young</v>
      </c>
      <c r="L773" t="str">
        <f t="shared" si="25"/>
        <v>Obese</v>
      </c>
    </row>
    <row r="774" spans="1:12" x14ac:dyDescent="0.2">
      <c r="A774">
        <v>773</v>
      </c>
      <c r="B774">
        <v>1</v>
      </c>
      <c r="C774">
        <v>139</v>
      </c>
      <c r="D774">
        <v>62</v>
      </c>
      <c r="E774">
        <v>41</v>
      </c>
      <c r="F774">
        <v>480</v>
      </c>
      <c r="G774">
        <v>40.700000000000003</v>
      </c>
      <c r="H774">
        <v>0.53600000000000003</v>
      </c>
      <c r="I774">
        <v>21</v>
      </c>
      <c r="J774">
        <v>0</v>
      </c>
      <c r="K774" t="str">
        <f t="shared" si="24"/>
        <v>Young</v>
      </c>
      <c r="L774" t="str">
        <f t="shared" si="25"/>
        <v>Obese</v>
      </c>
    </row>
    <row r="775" spans="1:12" x14ac:dyDescent="0.2">
      <c r="A775">
        <v>774</v>
      </c>
      <c r="B775">
        <v>0</v>
      </c>
      <c r="C775">
        <v>173</v>
      </c>
      <c r="D775">
        <v>78</v>
      </c>
      <c r="E775">
        <v>32</v>
      </c>
      <c r="F775">
        <v>265</v>
      </c>
      <c r="G775">
        <v>46.5</v>
      </c>
      <c r="H775">
        <v>1.159</v>
      </c>
      <c r="I775">
        <v>58</v>
      </c>
      <c r="J775">
        <v>0</v>
      </c>
      <c r="K775" t="str">
        <f t="shared" si="24"/>
        <v>Senior</v>
      </c>
      <c r="L775" t="str">
        <f t="shared" si="25"/>
        <v>Obese</v>
      </c>
    </row>
    <row r="776" spans="1:12" x14ac:dyDescent="0.2">
      <c r="A776">
        <v>775</v>
      </c>
      <c r="B776">
        <v>4</v>
      </c>
      <c r="C776">
        <v>99</v>
      </c>
      <c r="D776">
        <v>72</v>
      </c>
      <c r="E776">
        <v>17</v>
      </c>
      <c r="F776">
        <v>0</v>
      </c>
      <c r="G776">
        <v>25.6</v>
      </c>
      <c r="H776">
        <v>0.29399999999999998</v>
      </c>
      <c r="I776">
        <v>28</v>
      </c>
      <c r="J776">
        <v>0</v>
      </c>
      <c r="K776" t="str">
        <f t="shared" si="24"/>
        <v>Young</v>
      </c>
      <c r="L776" t="str">
        <f t="shared" si="25"/>
        <v>Overweight</v>
      </c>
    </row>
    <row r="777" spans="1:12" x14ac:dyDescent="0.2">
      <c r="A777">
        <v>776</v>
      </c>
      <c r="B777">
        <v>8</v>
      </c>
      <c r="C777">
        <v>194</v>
      </c>
      <c r="D777">
        <v>80</v>
      </c>
      <c r="E777">
        <v>0</v>
      </c>
      <c r="F777">
        <v>0</v>
      </c>
      <c r="G777">
        <v>26.1</v>
      </c>
      <c r="H777">
        <v>0.55100000000000005</v>
      </c>
      <c r="I777">
        <v>67</v>
      </c>
      <c r="J777">
        <v>0</v>
      </c>
      <c r="K777" t="str">
        <f t="shared" si="24"/>
        <v>Senior</v>
      </c>
      <c r="L777" t="str">
        <f t="shared" si="25"/>
        <v>Overweight</v>
      </c>
    </row>
    <row r="778" spans="1:12" x14ac:dyDescent="0.2">
      <c r="A778">
        <v>777</v>
      </c>
      <c r="B778">
        <v>2</v>
      </c>
      <c r="C778">
        <v>83</v>
      </c>
      <c r="D778">
        <v>65</v>
      </c>
      <c r="E778">
        <v>28</v>
      </c>
      <c r="F778">
        <v>66</v>
      </c>
      <c r="G778">
        <v>36.799999999999997</v>
      </c>
      <c r="H778">
        <v>0.629</v>
      </c>
      <c r="I778">
        <v>24</v>
      </c>
      <c r="J778">
        <v>0</v>
      </c>
      <c r="K778" t="str">
        <f t="shared" si="24"/>
        <v>Young</v>
      </c>
      <c r="L778" t="str">
        <f t="shared" si="25"/>
        <v>Obese</v>
      </c>
    </row>
    <row r="779" spans="1:12" x14ac:dyDescent="0.2">
      <c r="A779">
        <v>778</v>
      </c>
      <c r="B779">
        <v>2</v>
      </c>
      <c r="C779">
        <v>89</v>
      </c>
      <c r="D779">
        <v>90</v>
      </c>
      <c r="E779">
        <v>30</v>
      </c>
      <c r="F779">
        <v>0</v>
      </c>
      <c r="G779">
        <v>33.5</v>
      </c>
      <c r="H779">
        <v>0.29199999999999998</v>
      </c>
      <c r="I779">
        <v>42</v>
      </c>
      <c r="J779">
        <v>0</v>
      </c>
      <c r="K779" t="str">
        <f t="shared" si="24"/>
        <v>Middle-Aged</v>
      </c>
      <c r="L779" t="str">
        <f t="shared" si="25"/>
        <v>Obese</v>
      </c>
    </row>
    <row r="780" spans="1:12" x14ac:dyDescent="0.2">
      <c r="A780">
        <v>779</v>
      </c>
      <c r="B780">
        <v>4</v>
      </c>
      <c r="C780">
        <v>99</v>
      </c>
      <c r="D780">
        <v>68</v>
      </c>
      <c r="E780">
        <v>38</v>
      </c>
      <c r="F780">
        <v>0</v>
      </c>
      <c r="G780">
        <v>32.799999999999997</v>
      </c>
      <c r="H780">
        <v>0.14499999999999999</v>
      </c>
      <c r="I780">
        <v>33</v>
      </c>
      <c r="J780">
        <v>0</v>
      </c>
      <c r="K780" t="str">
        <f t="shared" si="24"/>
        <v>Middle-Aged</v>
      </c>
      <c r="L780" t="str">
        <f t="shared" si="25"/>
        <v>Obese</v>
      </c>
    </row>
    <row r="781" spans="1:12" x14ac:dyDescent="0.2">
      <c r="A781">
        <v>780</v>
      </c>
      <c r="B781">
        <v>4</v>
      </c>
      <c r="C781">
        <v>125</v>
      </c>
      <c r="D781">
        <v>70</v>
      </c>
      <c r="E781">
        <v>18</v>
      </c>
      <c r="F781">
        <v>122</v>
      </c>
      <c r="G781">
        <v>28.9</v>
      </c>
      <c r="H781">
        <v>1.1439999999999999</v>
      </c>
      <c r="I781">
        <v>45</v>
      </c>
      <c r="J781">
        <v>1</v>
      </c>
      <c r="K781" t="str">
        <f t="shared" si="24"/>
        <v>Senior</v>
      </c>
      <c r="L781" t="str">
        <f t="shared" si="25"/>
        <v>Overweight</v>
      </c>
    </row>
    <row r="782" spans="1:12" x14ac:dyDescent="0.2">
      <c r="A782">
        <v>781</v>
      </c>
      <c r="B782">
        <v>3</v>
      </c>
      <c r="C782">
        <v>80</v>
      </c>
      <c r="D782">
        <v>121</v>
      </c>
      <c r="E782">
        <v>0</v>
      </c>
      <c r="F782">
        <v>0</v>
      </c>
      <c r="G782">
        <v>121</v>
      </c>
      <c r="H782">
        <v>0.17399999999999999</v>
      </c>
      <c r="I782">
        <v>22</v>
      </c>
      <c r="J782">
        <v>0</v>
      </c>
      <c r="K782" t="str">
        <f t="shared" si="24"/>
        <v>Young</v>
      </c>
      <c r="L782" t="str">
        <f t="shared" si="25"/>
        <v>Obese</v>
      </c>
    </row>
    <row r="783" spans="1:12" x14ac:dyDescent="0.2">
      <c r="A783">
        <v>782</v>
      </c>
      <c r="B783">
        <v>6</v>
      </c>
      <c r="C783">
        <v>166</v>
      </c>
      <c r="D783">
        <v>74</v>
      </c>
      <c r="E783">
        <v>0</v>
      </c>
      <c r="F783">
        <v>0</v>
      </c>
      <c r="G783">
        <v>26.6</v>
      </c>
      <c r="H783">
        <v>0.30399999999999999</v>
      </c>
      <c r="I783">
        <v>66</v>
      </c>
      <c r="J783">
        <v>0</v>
      </c>
      <c r="K783" t="str">
        <f t="shared" si="24"/>
        <v>Senior</v>
      </c>
      <c r="L783" t="str">
        <f t="shared" si="25"/>
        <v>Overweight</v>
      </c>
    </row>
    <row r="784" spans="1:12" x14ac:dyDescent="0.2">
      <c r="A784">
        <v>783</v>
      </c>
      <c r="B784">
        <v>5</v>
      </c>
      <c r="C784">
        <v>110</v>
      </c>
      <c r="D784">
        <v>68</v>
      </c>
      <c r="E784">
        <v>0</v>
      </c>
      <c r="F784">
        <v>0</v>
      </c>
      <c r="G784">
        <v>26</v>
      </c>
      <c r="H784">
        <v>0.29199999999999998</v>
      </c>
      <c r="I784">
        <v>30</v>
      </c>
      <c r="J784">
        <v>0</v>
      </c>
      <c r="K784" t="str">
        <f t="shared" si="24"/>
        <v>Middle-Aged</v>
      </c>
      <c r="L784" t="str">
        <f t="shared" si="25"/>
        <v>Overweight</v>
      </c>
    </row>
    <row r="785" spans="1:12" x14ac:dyDescent="0.2">
      <c r="A785">
        <v>784</v>
      </c>
      <c r="B785">
        <v>2</v>
      </c>
      <c r="C785">
        <v>81</v>
      </c>
      <c r="D785">
        <v>72</v>
      </c>
      <c r="E785">
        <v>15</v>
      </c>
      <c r="F785">
        <v>76</v>
      </c>
      <c r="G785">
        <v>30.1</v>
      </c>
      <c r="H785">
        <v>0.54700000000000004</v>
      </c>
      <c r="I785">
        <v>25</v>
      </c>
      <c r="J785">
        <v>0</v>
      </c>
      <c r="K785" t="str">
        <f t="shared" si="24"/>
        <v>Young</v>
      </c>
      <c r="L785" t="str">
        <f t="shared" si="25"/>
        <v>Obese</v>
      </c>
    </row>
    <row r="786" spans="1:12" x14ac:dyDescent="0.2">
      <c r="A786">
        <v>785</v>
      </c>
      <c r="B786">
        <v>7</v>
      </c>
      <c r="C786">
        <v>195</v>
      </c>
      <c r="D786">
        <v>70</v>
      </c>
      <c r="E786">
        <v>33</v>
      </c>
      <c r="F786">
        <v>145</v>
      </c>
      <c r="G786">
        <v>25.1</v>
      </c>
      <c r="H786">
        <v>0.16300000000000001</v>
      </c>
      <c r="I786">
        <v>55</v>
      </c>
      <c r="J786">
        <v>1</v>
      </c>
      <c r="K786" t="str">
        <f t="shared" si="24"/>
        <v>Senior</v>
      </c>
      <c r="L786" t="str">
        <f t="shared" si="25"/>
        <v>Overweight</v>
      </c>
    </row>
    <row r="787" spans="1:12" x14ac:dyDescent="0.2">
      <c r="A787">
        <v>786</v>
      </c>
      <c r="B787">
        <v>6</v>
      </c>
      <c r="C787">
        <v>154</v>
      </c>
      <c r="D787">
        <v>74</v>
      </c>
      <c r="E787">
        <v>32</v>
      </c>
      <c r="F787">
        <v>193</v>
      </c>
      <c r="G787">
        <v>29.3</v>
      </c>
      <c r="H787">
        <v>0.83899999999999997</v>
      </c>
      <c r="I787">
        <v>39</v>
      </c>
      <c r="J787">
        <v>0</v>
      </c>
      <c r="K787" t="str">
        <f t="shared" si="24"/>
        <v>Middle-Aged</v>
      </c>
      <c r="L787" t="str">
        <f t="shared" si="25"/>
        <v>Overweight</v>
      </c>
    </row>
    <row r="788" spans="1:12" x14ac:dyDescent="0.2">
      <c r="A788">
        <v>787</v>
      </c>
      <c r="B788">
        <v>2</v>
      </c>
      <c r="C788">
        <v>117</v>
      </c>
      <c r="D788">
        <v>90</v>
      </c>
      <c r="E788">
        <v>19</v>
      </c>
      <c r="F788">
        <v>71</v>
      </c>
      <c r="G788">
        <v>25.2</v>
      </c>
      <c r="H788">
        <v>0.313</v>
      </c>
      <c r="I788">
        <v>21</v>
      </c>
      <c r="J788">
        <v>0</v>
      </c>
      <c r="K788" t="str">
        <f t="shared" si="24"/>
        <v>Young</v>
      </c>
      <c r="L788" t="str">
        <f t="shared" si="25"/>
        <v>Overweight</v>
      </c>
    </row>
    <row r="789" spans="1:12" x14ac:dyDescent="0.2">
      <c r="A789">
        <v>788</v>
      </c>
      <c r="B789">
        <v>3</v>
      </c>
      <c r="C789">
        <v>84</v>
      </c>
      <c r="D789">
        <v>72</v>
      </c>
      <c r="E789">
        <v>32</v>
      </c>
      <c r="F789">
        <v>0</v>
      </c>
      <c r="G789">
        <v>37.200000000000003</v>
      </c>
      <c r="H789">
        <v>0.26700000000000002</v>
      </c>
      <c r="I789">
        <v>28</v>
      </c>
      <c r="J789">
        <v>0</v>
      </c>
      <c r="K789" t="str">
        <f t="shared" si="24"/>
        <v>Young</v>
      </c>
      <c r="L789" t="str">
        <f t="shared" si="25"/>
        <v>Obese</v>
      </c>
    </row>
    <row r="790" spans="1:12" x14ac:dyDescent="0.2">
      <c r="A790">
        <v>789</v>
      </c>
      <c r="B790">
        <v>6</v>
      </c>
      <c r="C790">
        <v>121</v>
      </c>
      <c r="D790">
        <v>68</v>
      </c>
      <c r="E790">
        <v>41</v>
      </c>
      <c r="F790">
        <v>0</v>
      </c>
      <c r="G790">
        <v>39</v>
      </c>
      <c r="H790">
        <v>0.72699999999999998</v>
      </c>
      <c r="I790">
        <v>41</v>
      </c>
      <c r="J790">
        <v>1</v>
      </c>
      <c r="K790" t="str">
        <f t="shared" si="24"/>
        <v>Middle-Aged</v>
      </c>
      <c r="L790" t="str">
        <f t="shared" si="25"/>
        <v>Obese</v>
      </c>
    </row>
    <row r="791" spans="1:12" x14ac:dyDescent="0.2">
      <c r="A791">
        <v>790</v>
      </c>
      <c r="B791">
        <v>7</v>
      </c>
      <c r="C791">
        <v>94</v>
      </c>
      <c r="D791">
        <v>64</v>
      </c>
      <c r="E791">
        <v>25</v>
      </c>
      <c r="F791">
        <v>79</v>
      </c>
      <c r="G791">
        <v>33.299999999999997</v>
      </c>
      <c r="H791">
        <v>0.73799999999999999</v>
      </c>
      <c r="I791">
        <v>41</v>
      </c>
      <c r="J791">
        <v>0</v>
      </c>
      <c r="K791" t="str">
        <f t="shared" si="24"/>
        <v>Middle-Aged</v>
      </c>
      <c r="L791" t="str">
        <f t="shared" si="25"/>
        <v>Obese</v>
      </c>
    </row>
    <row r="792" spans="1:12" x14ac:dyDescent="0.2">
      <c r="A792">
        <v>791</v>
      </c>
      <c r="B792">
        <v>3</v>
      </c>
      <c r="C792">
        <v>96</v>
      </c>
      <c r="D792">
        <v>78</v>
      </c>
      <c r="E792">
        <v>39</v>
      </c>
      <c r="F792">
        <v>0</v>
      </c>
      <c r="G792">
        <v>37.299999999999997</v>
      </c>
      <c r="H792">
        <v>0.23799999999999999</v>
      </c>
      <c r="I792">
        <v>40</v>
      </c>
      <c r="J792">
        <v>0</v>
      </c>
      <c r="K792" t="str">
        <f t="shared" si="24"/>
        <v>Middle-Aged</v>
      </c>
      <c r="L792" t="str">
        <f t="shared" si="25"/>
        <v>Obese</v>
      </c>
    </row>
    <row r="793" spans="1:12" x14ac:dyDescent="0.2">
      <c r="A793">
        <v>792</v>
      </c>
      <c r="B793">
        <v>10</v>
      </c>
      <c r="C793">
        <v>75</v>
      </c>
      <c r="D793">
        <v>82</v>
      </c>
      <c r="E793">
        <v>0</v>
      </c>
      <c r="F793">
        <v>0</v>
      </c>
      <c r="G793">
        <v>33.299999999999997</v>
      </c>
      <c r="H793">
        <v>0.26300000000000001</v>
      </c>
      <c r="I793">
        <v>38</v>
      </c>
      <c r="J793">
        <v>0</v>
      </c>
      <c r="K793" t="str">
        <f t="shared" si="24"/>
        <v>Middle-Aged</v>
      </c>
      <c r="L793" t="str">
        <f t="shared" si="25"/>
        <v>Obese</v>
      </c>
    </row>
    <row r="794" spans="1:12" x14ac:dyDescent="0.2">
      <c r="A794">
        <v>793</v>
      </c>
      <c r="B794">
        <v>0</v>
      </c>
      <c r="C794">
        <v>180</v>
      </c>
      <c r="D794">
        <v>90</v>
      </c>
      <c r="E794">
        <v>26</v>
      </c>
      <c r="F794">
        <v>90</v>
      </c>
      <c r="G794">
        <v>36.5</v>
      </c>
      <c r="H794">
        <v>0.314</v>
      </c>
      <c r="I794">
        <v>35</v>
      </c>
      <c r="J794">
        <v>1</v>
      </c>
      <c r="K794" t="str">
        <f t="shared" si="24"/>
        <v>Middle-Aged</v>
      </c>
      <c r="L794" t="str">
        <f t="shared" si="25"/>
        <v>Obese</v>
      </c>
    </row>
    <row r="795" spans="1:12" x14ac:dyDescent="0.2">
      <c r="A795">
        <v>794</v>
      </c>
      <c r="B795">
        <v>1</v>
      </c>
      <c r="C795">
        <v>130</v>
      </c>
      <c r="D795">
        <v>60</v>
      </c>
      <c r="E795">
        <v>23</v>
      </c>
      <c r="F795">
        <v>170</v>
      </c>
      <c r="G795">
        <v>28.6</v>
      </c>
      <c r="H795">
        <v>0.69199999999999995</v>
      </c>
      <c r="I795">
        <v>21</v>
      </c>
      <c r="J795">
        <v>0</v>
      </c>
      <c r="K795" t="str">
        <f t="shared" si="24"/>
        <v>Young</v>
      </c>
      <c r="L795" t="str">
        <f t="shared" si="25"/>
        <v>Overweight</v>
      </c>
    </row>
    <row r="796" spans="1:12" x14ac:dyDescent="0.2">
      <c r="A796">
        <v>795</v>
      </c>
      <c r="B796">
        <v>2</v>
      </c>
      <c r="C796">
        <v>84</v>
      </c>
      <c r="D796">
        <v>50</v>
      </c>
      <c r="E796">
        <v>23</v>
      </c>
      <c r="F796">
        <v>76</v>
      </c>
      <c r="G796">
        <v>30.4</v>
      </c>
      <c r="H796">
        <v>0.96799999999999997</v>
      </c>
      <c r="I796">
        <v>21</v>
      </c>
      <c r="J796">
        <v>0</v>
      </c>
      <c r="K796" t="str">
        <f t="shared" si="24"/>
        <v>Young</v>
      </c>
      <c r="L796" t="str">
        <f t="shared" si="25"/>
        <v>Obese</v>
      </c>
    </row>
    <row r="797" spans="1:12" x14ac:dyDescent="0.2">
      <c r="A797">
        <v>796</v>
      </c>
      <c r="B797">
        <v>8</v>
      </c>
      <c r="C797">
        <v>120</v>
      </c>
      <c r="D797">
        <v>78</v>
      </c>
      <c r="E797">
        <v>0</v>
      </c>
      <c r="F797">
        <v>0</v>
      </c>
      <c r="G797">
        <v>25</v>
      </c>
      <c r="H797">
        <v>0.40899999999999997</v>
      </c>
      <c r="I797">
        <v>64</v>
      </c>
      <c r="J797">
        <v>0</v>
      </c>
      <c r="K797" t="str">
        <f t="shared" si="24"/>
        <v>Senior</v>
      </c>
      <c r="L797" t="str">
        <f t="shared" si="25"/>
        <v>Overweight</v>
      </c>
    </row>
    <row r="798" spans="1:12" x14ac:dyDescent="0.2">
      <c r="A798">
        <v>797</v>
      </c>
      <c r="B798">
        <v>12</v>
      </c>
      <c r="C798">
        <v>84</v>
      </c>
      <c r="D798">
        <v>72</v>
      </c>
      <c r="E798">
        <v>31</v>
      </c>
      <c r="F798">
        <v>0</v>
      </c>
      <c r="G798">
        <v>29.7</v>
      </c>
      <c r="H798">
        <v>0.29699999999999999</v>
      </c>
      <c r="I798">
        <v>46</v>
      </c>
      <c r="J798">
        <v>1</v>
      </c>
      <c r="K798" t="str">
        <f t="shared" si="24"/>
        <v>Senior</v>
      </c>
      <c r="L798" t="str">
        <f t="shared" si="25"/>
        <v>Overweight</v>
      </c>
    </row>
    <row r="799" spans="1:12" x14ac:dyDescent="0.2">
      <c r="A799">
        <v>798</v>
      </c>
      <c r="B799">
        <v>0</v>
      </c>
      <c r="C799">
        <v>139</v>
      </c>
      <c r="D799">
        <v>62</v>
      </c>
      <c r="E799">
        <v>17</v>
      </c>
      <c r="F799">
        <v>210</v>
      </c>
      <c r="G799">
        <v>22.1</v>
      </c>
      <c r="H799">
        <v>0.20699999999999999</v>
      </c>
      <c r="I799">
        <v>21</v>
      </c>
      <c r="J799">
        <v>0</v>
      </c>
      <c r="K799" t="str">
        <f t="shared" si="24"/>
        <v>Young</v>
      </c>
      <c r="L799" t="str">
        <f t="shared" si="25"/>
        <v>Normal</v>
      </c>
    </row>
    <row r="800" spans="1:12" x14ac:dyDescent="0.2">
      <c r="A800">
        <v>799</v>
      </c>
      <c r="B800">
        <v>9</v>
      </c>
      <c r="C800">
        <v>91</v>
      </c>
      <c r="D800">
        <v>68</v>
      </c>
      <c r="E800">
        <v>0</v>
      </c>
      <c r="F800">
        <v>0</v>
      </c>
      <c r="G800">
        <v>24.2</v>
      </c>
      <c r="H800">
        <v>0.2</v>
      </c>
      <c r="I800">
        <v>58</v>
      </c>
      <c r="J800">
        <v>0</v>
      </c>
      <c r="K800" t="str">
        <f t="shared" si="24"/>
        <v>Senior</v>
      </c>
      <c r="L800" t="str">
        <f t="shared" si="25"/>
        <v>Normal</v>
      </c>
    </row>
    <row r="801" spans="1:12" x14ac:dyDescent="0.2">
      <c r="A801">
        <v>800</v>
      </c>
      <c r="B801">
        <v>2</v>
      </c>
      <c r="C801">
        <v>91</v>
      </c>
      <c r="D801">
        <v>62</v>
      </c>
      <c r="E801">
        <v>0</v>
      </c>
      <c r="F801">
        <v>0</v>
      </c>
      <c r="G801">
        <v>27.3</v>
      </c>
      <c r="H801">
        <v>0.52500000000000002</v>
      </c>
      <c r="I801">
        <v>22</v>
      </c>
      <c r="J801">
        <v>0</v>
      </c>
      <c r="K801" t="str">
        <f t="shared" si="24"/>
        <v>Young</v>
      </c>
      <c r="L801" t="str">
        <f t="shared" si="25"/>
        <v>Overweight</v>
      </c>
    </row>
    <row r="802" spans="1:12" x14ac:dyDescent="0.2">
      <c r="A802">
        <v>801</v>
      </c>
      <c r="B802">
        <v>3</v>
      </c>
      <c r="C802">
        <v>99</v>
      </c>
      <c r="D802">
        <v>54</v>
      </c>
      <c r="E802">
        <v>19</v>
      </c>
      <c r="F802">
        <v>86</v>
      </c>
      <c r="G802">
        <v>25.6</v>
      </c>
      <c r="H802">
        <v>0.154</v>
      </c>
      <c r="I802">
        <v>24</v>
      </c>
      <c r="J802">
        <v>0</v>
      </c>
      <c r="K802" t="str">
        <f t="shared" si="24"/>
        <v>Young</v>
      </c>
      <c r="L802" t="str">
        <f t="shared" si="25"/>
        <v>Overweight</v>
      </c>
    </row>
    <row r="803" spans="1:12" x14ac:dyDescent="0.2">
      <c r="A803">
        <v>802</v>
      </c>
      <c r="B803">
        <v>3</v>
      </c>
      <c r="C803">
        <v>163</v>
      </c>
      <c r="D803">
        <v>70</v>
      </c>
      <c r="E803">
        <v>18</v>
      </c>
      <c r="F803">
        <v>105</v>
      </c>
      <c r="G803">
        <v>31.6</v>
      </c>
      <c r="H803">
        <v>0.26800000000000002</v>
      </c>
      <c r="I803">
        <v>28</v>
      </c>
      <c r="J803">
        <v>1</v>
      </c>
      <c r="K803" t="str">
        <f t="shared" si="24"/>
        <v>Young</v>
      </c>
      <c r="L803" t="str">
        <f t="shared" si="25"/>
        <v>Obese</v>
      </c>
    </row>
    <row r="804" spans="1:12" x14ac:dyDescent="0.2">
      <c r="A804">
        <v>803</v>
      </c>
      <c r="B804">
        <v>10</v>
      </c>
      <c r="C804">
        <v>122</v>
      </c>
      <c r="D804">
        <v>78</v>
      </c>
      <c r="E804">
        <v>31</v>
      </c>
      <c r="F804">
        <v>0</v>
      </c>
      <c r="G804">
        <v>27.6</v>
      </c>
      <c r="H804">
        <v>0.51200000000000001</v>
      </c>
      <c r="I804">
        <v>45</v>
      </c>
      <c r="J804">
        <v>0</v>
      </c>
      <c r="K804" t="str">
        <f t="shared" si="24"/>
        <v>Senior</v>
      </c>
      <c r="L804" t="str">
        <f t="shared" si="25"/>
        <v>Overweight</v>
      </c>
    </row>
    <row r="805" spans="1:12" x14ac:dyDescent="0.2">
      <c r="A805">
        <v>804</v>
      </c>
      <c r="B805">
        <v>4</v>
      </c>
      <c r="C805">
        <v>103</v>
      </c>
      <c r="D805">
        <v>60</v>
      </c>
      <c r="E805">
        <v>33</v>
      </c>
      <c r="F805">
        <v>192</v>
      </c>
      <c r="G805">
        <v>24</v>
      </c>
      <c r="H805">
        <v>0.96599999999999997</v>
      </c>
      <c r="I805">
        <v>33</v>
      </c>
      <c r="J805">
        <v>0</v>
      </c>
      <c r="K805" t="str">
        <f t="shared" si="24"/>
        <v>Middle-Aged</v>
      </c>
      <c r="L805" t="str">
        <f t="shared" si="25"/>
        <v>Normal</v>
      </c>
    </row>
    <row r="806" spans="1:12" x14ac:dyDescent="0.2">
      <c r="A806">
        <v>805</v>
      </c>
      <c r="B806">
        <v>11</v>
      </c>
      <c r="C806">
        <v>138</v>
      </c>
      <c r="D806">
        <v>76</v>
      </c>
      <c r="E806">
        <v>0</v>
      </c>
      <c r="F806">
        <v>0</v>
      </c>
      <c r="G806">
        <v>33.200000000000003</v>
      </c>
      <c r="H806">
        <v>0.42</v>
      </c>
      <c r="I806">
        <v>35</v>
      </c>
      <c r="J806">
        <v>0</v>
      </c>
      <c r="K806" t="str">
        <f t="shared" si="24"/>
        <v>Middle-Aged</v>
      </c>
      <c r="L806" t="str">
        <f t="shared" si="25"/>
        <v>Obese</v>
      </c>
    </row>
    <row r="807" spans="1:12" x14ac:dyDescent="0.2">
      <c r="A807">
        <v>806</v>
      </c>
      <c r="B807">
        <v>9</v>
      </c>
      <c r="C807">
        <v>102</v>
      </c>
      <c r="D807">
        <v>76</v>
      </c>
      <c r="E807">
        <v>37</v>
      </c>
      <c r="F807">
        <v>0</v>
      </c>
      <c r="G807">
        <v>32.9</v>
      </c>
      <c r="H807">
        <v>0.66500000000000004</v>
      </c>
      <c r="I807">
        <v>46</v>
      </c>
      <c r="J807">
        <v>1</v>
      </c>
      <c r="K807" t="str">
        <f t="shared" si="24"/>
        <v>Senior</v>
      </c>
      <c r="L807" t="str">
        <f t="shared" si="25"/>
        <v>Obese</v>
      </c>
    </row>
    <row r="808" spans="1:12" x14ac:dyDescent="0.2">
      <c r="A808">
        <v>807</v>
      </c>
      <c r="B808">
        <v>2</v>
      </c>
      <c r="C808">
        <v>90</v>
      </c>
      <c r="D808">
        <v>68</v>
      </c>
      <c r="E808">
        <v>42</v>
      </c>
      <c r="F808">
        <v>0</v>
      </c>
      <c r="G808">
        <v>38.200000000000003</v>
      </c>
      <c r="H808">
        <v>0.503</v>
      </c>
      <c r="I808">
        <v>27</v>
      </c>
      <c r="J808">
        <v>1</v>
      </c>
      <c r="K808" t="str">
        <f t="shared" si="24"/>
        <v>Young</v>
      </c>
      <c r="L808" t="str">
        <f t="shared" si="25"/>
        <v>Obese</v>
      </c>
    </row>
    <row r="809" spans="1:12" x14ac:dyDescent="0.2">
      <c r="A809">
        <v>808</v>
      </c>
      <c r="B809">
        <v>4</v>
      </c>
      <c r="C809">
        <v>111</v>
      </c>
      <c r="D809">
        <v>72</v>
      </c>
      <c r="E809">
        <v>47</v>
      </c>
      <c r="F809">
        <v>207</v>
      </c>
      <c r="G809">
        <v>37.1</v>
      </c>
      <c r="H809">
        <v>1.39</v>
      </c>
      <c r="I809">
        <v>56</v>
      </c>
      <c r="J809">
        <v>1</v>
      </c>
      <c r="K809" t="str">
        <f t="shared" si="24"/>
        <v>Senior</v>
      </c>
      <c r="L809" t="str">
        <f t="shared" si="25"/>
        <v>Obese</v>
      </c>
    </row>
    <row r="810" spans="1:12" x14ac:dyDescent="0.2">
      <c r="A810">
        <v>809</v>
      </c>
      <c r="B810">
        <v>3</v>
      </c>
      <c r="C810">
        <v>180</v>
      </c>
      <c r="D810">
        <v>64</v>
      </c>
      <c r="E810">
        <v>25</v>
      </c>
      <c r="F810">
        <v>70</v>
      </c>
      <c r="G810">
        <v>34</v>
      </c>
      <c r="H810">
        <v>0.27100000000000002</v>
      </c>
      <c r="I810">
        <v>26</v>
      </c>
      <c r="J810">
        <v>0</v>
      </c>
      <c r="K810" t="str">
        <f t="shared" si="24"/>
        <v>Young</v>
      </c>
      <c r="L810" t="str">
        <f t="shared" si="25"/>
        <v>Obese</v>
      </c>
    </row>
    <row r="811" spans="1:12" x14ac:dyDescent="0.2">
      <c r="A811">
        <v>810</v>
      </c>
      <c r="B811">
        <v>7</v>
      </c>
      <c r="C811">
        <v>133</v>
      </c>
      <c r="D811">
        <v>84</v>
      </c>
      <c r="E811">
        <v>0</v>
      </c>
      <c r="F811">
        <v>0</v>
      </c>
      <c r="G811">
        <v>40.200000000000003</v>
      </c>
      <c r="H811">
        <v>0.69599999999999995</v>
      </c>
      <c r="I811">
        <v>37</v>
      </c>
      <c r="J811">
        <v>0</v>
      </c>
      <c r="K811" t="str">
        <f t="shared" si="24"/>
        <v>Middle-Aged</v>
      </c>
      <c r="L811" t="str">
        <f t="shared" si="25"/>
        <v>Obese</v>
      </c>
    </row>
    <row r="812" spans="1:12" x14ac:dyDescent="0.2">
      <c r="A812">
        <v>811</v>
      </c>
      <c r="B812">
        <v>7</v>
      </c>
      <c r="C812">
        <v>106</v>
      </c>
      <c r="D812">
        <v>92</v>
      </c>
      <c r="E812">
        <v>18</v>
      </c>
      <c r="F812">
        <v>0</v>
      </c>
      <c r="G812">
        <v>22.7</v>
      </c>
      <c r="H812">
        <v>0.23499999999999999</v>
      </c>
      <c r="I812">
        <v>48</v>
      </c>
      <c r="J812">
        <v>0</v>
      </c>
      <c r="K812" t="str">
        <f t="shared" si="24"/>
        <v>Senior</v>
      </c>
      <c r="L812" t="str">
        <f t="shared" si="25"/>
        <v>Normal</v>
      </c>
    </row>
    <row r="813" spans="1:12" x14ac:dyDescent="0.2">
      <c r="A813">
        <v>812</v>
      </c>
      <c r="B813">
        <v>9</v>
      </c>
      <c r="C813">
        <v>171</v>
      </c>
      <c r="D813">
        <v>110</v>
      </c>
      <c r="E813">
        <v>24</v>
      </c>
      <c r="F813">
        <v>240</v>
      </c>
      <c r="G813">
        <v>45.4</v>
      </c>
      <c r="H813">
        <v>0.72099999999999997</v>
      </c>
      <c r="I813">
        <v>54</v>
      </c>
      <c r="J813">
        <v>1</v>
      </c>
      <c r="K813" t="str">
        <f t="shared" si="24"/>
        <v>Senior</v>
      </c>
      <c r="L813" t="str">
        <f t="shared" si="25"/>
        <v>Obese</v>
      </c>
    </row>
    <row r="814" spans="1:12" x14ac:dyDescent="0.2">
      <c r="A814">
        <v>813</v>
      </c>
      <c r="B814">
        <v>7</v>
      </c>
      <c r="C814">
        <v>159</v>
      </c>
      <c r="D814">
        <v>64</v>
      </c>
      <c r="E814">
        <v>0</v>
      </c>
      <c r="F814">
        <v>0</v>
      </c>
      <c r="G814">
        <v>27.4</v>
      </c>
      <c r="H814">
        <v>0.29399999999999998</v>
      </c>
      <c r="I814">
        <v>40</v>
      </c>
      <c r="J814">
        <v>0</v>
      </c>
      <c r="K814" t="str">
        <f t="shared" si="24"/>
        <v>Middle-Aged</v>
      </c>
      <c r="L814" t="str">
        <f t="shared" si="25"/>
        <v>Overweight</v>
      </c>
    </row>
    <row r="815" spans="1:12" x14ac:dyDescent="0.2">
      <c r="A815">
        <v>814</v>
      </c>
      <c r="B815">
        <v>0</v>
      </c>
      <c r="C815">
        <v>180</v>
      </c>
      <c r="D815">
        <v>66</v>
      </c>
      <c r="E815">
        <v>39</v>
      </c>
      <c r="F815">
        <v>0</v>
      </c>
      <c r="G815">
        <v>42</v>
      </c>
      <c r="H815">
        <v>1.893</v>
      </c>
      <c r="I815">
        <v>25</v>
      </c>
      <c r="J815">
        <v>1</v>
      </c>
      <c r="K815" t="str">
        <f t="shared" si="24"/>
        <v>Young</v>
      </c>
      <c r="L815" t="str">
        <f t="shared" si="25"/>
        <v>Obese</v>
      </c>
    </row>
    <row r="816" spans="1:12" x14ac:dyDescent="0.2">
      <c r="A816">
        <v>815</v>
      </c>
      <c r="B816">
        <v>1</v>
      </c>
      <c r="C816">
        <v>146</v>
      </c>
      <c r="D816">
        <v>56</v>
      </c>
      <c r="E816">
        <v>0</v>
      </c>
      <c r="F816">
        <v>0</v>
      </c>
      <c r="G816">
        <v>29.7</v>
      </c>
      <c r="H816">
        <v>0.56399999999999995</v>
      </c>
      <c r="I816">
        <v>29</v>
      </c>
      <c r="J816">
        <v>0</v>
      </c>
      <c r="K816" t="str">
        <f t="shared" si="24"/>
        <v>Young</v>
      </c>
      <c r="L816" t="str">
        <f t="shared" si="25"/>
        <v>Overweight</v>
      </c>
    </row>
    <row r="817" spans="1:12" x14ac:dyDescent="0.2">
      <c r="A817">
        <v>816</v>
      </c>
      <c r="B817">
        <v>2</v>
      </c>
      <c r="C817">
        <v>71</v>
      </c>
      <c r="D817">
        <v>70</v>
      </c>
      <c r="E817">
        <v>27</v>
      </c>
      <c r="F817">
        <v>0</v>
      </c>
      <c r="G817">
        <v>28</v>
      </c>
      <c r="H817">
        <v>0.58599999999999997</v>
      </c>
      <c r="I817">
        <v>22</v>
      </c>
      <c r="J817">
        <v>0</v>
      </c>
      <c r="K817" t="str">
        <f t="shared" si="24"/>
        <v>Young</v>
      </c>
      <c r="L817" t="str">
        <f t="shared" si="25"/>
        <v>Overweight</v>
      </c>
    </row>
    <row r="818" spans="1:12" x14ac:dyDescent="0.2">
      <c r="A818">
        <v>817</v>
      </c>
      <c r="B818">
        <v>7</v>
      </c>
      <c r="C818">
        <v>103</v>
      </c>
      <c r="D818">
        <v>66</v>
      </c>
      <c r="E818">
        <v>32</v>
      </c>
      <c r="F818">
        <v>0</v>
      </c>
      <c r="G818">
        <v>39.1</v>
      </c>
      <c r="H818">
        <v>0.34399999999999997</v>
      </c>
      <c r="I818">
        <v>31</v>
      </c>
      <c r="J818">
        <v>1</v>
      </c>
      <c r="K818" t="str">
        <f t="shared" si="24"/>
        <v>Middle-Aged</v>
      </c>
      <c r="L818" t="str">
        <f t="shared" si="25"/>
        <v>Obese</v>
      </c>
    </row>
    <row r="819" spans="1:12" x14ac:dyDescent="0.2">
      <c r="A819">
        <v>818</v>
      </c>
      <c r="B819">
        <v>7</v>
      </c>
      <c r="C819">
        <v>105</v>
      </c>
      <c r="D819">
        <v>121</v>
      </c>
      <c r="E819">
        <v>0</v>
      </c>
      <c r="F819">
        <v>0</v>
      </c>
      <c r="G819">
        <v>121</v>
      </c>
      <c r="H819">
        <v>0.30499999999999999</v>
      </c>
      <c r="I819">
        <v>24</v>
      </c>
      <c r="J819">
        <v>0</v>
      </c>
      <c r="K819" t="str">
        <f t="shared" si="24"/>
        <v>Young</v>
      </c>
      <c r="L819" t="str">
        <f t="shared" si="25"/>
        <v>Obese</v>
      </c>
    </row>
    <row r="820" spans="1:12" x14ac:dyDescent="0.2">
      <c r="A820">
        <v>819</v>
      </c>
      <c r="B820">
        <v>1</v>
      </c>
      <c r="C820">
        <v>103</v>
      </c>
      <c r="D820">
        <v>80</v>
      </c>
      <c r="E820">
        <v>11</v>
      </c>
      <c r="F820">
        <v>82</v>
      </c>
      <c r="G820">
        <v>19.399999999999999</v>
      </c>
      <c r="H820">
        <v>0.49099999999999999</v>
      </c>
      <c r="I820">
        <v>22</v>
      </c>
      <c r="J820">
        <v>0</v>
      </c>
      <c r="K820" t="str">
        <f t="shared" si="24"/>
        <v>Young</v>
      </c>
      <c r="L820" t="str">
        <f t="shared" si="25"/>
        <v>Normal</v>
      </c>
    </row>
    <row r="821" spans="1:12" x14ac:dyDescent="0.2">
      <c r="A821">
        <v>820</v>
      </c>
      <c r="B821">
        <v>1</v>
      </c>
      <c r="C821">
        <v>101</v>
      </c>
      <c r="D821">
        <v>50</v>
      </c>
      <c r="E821">
        <v>15</v>
      </c>
      <c r="F821">
        <v>36</v>
      </c>
      <c r="G821">
        <v>24.2</v>
      </c>
      <c r="H821">
        <v>0.52600000000000002</v>
      </c>
      <c r="I821">
        <v>26</v>
      </c>
      <c r="J821">
        <v>0</v>
      </c>
      <c r="K821" t="str">
        <f t="shared" si="24"/>
        <v>Young</v>
      </c>
      <c r="L821" t="str">
        <f t="shared" si="25"/>
        <v>Normal</v>
      </c>
    </row>
    <row r="822" spans="1:12" x14ac:dyDescent="0.2">
      <c r="A822">
        <v>821</v>
      </c>
      <c r="B822">
        <v>5</v>
      </c>
      <c r="C822">
        <v>88</v>
      </c>
      <c r="D822">
        <v>66</v>
      </c>
      <c r="E822">
        <v>21</v>
      </c>
      <c r="F822">
        <v>23</v>
      </c>
      <c r="G822">
        <v>24.4</v>
      </c>
      <c r="H822">
        <v>0.34200000000000003</v>
      </c>
      <c r="I822">
        <v>30</v>
      </c>
      <c r="J822">
        <v>0</v>
      </c>
      <c r="K822" t="str">
        <f t="shared" si="24"/>
        <v>Middle-Aged</v>
      </c>
      <c r="L822" t="str">
        <f t="shared" si="25"/>
        <v>Normal</v>
      </c>
    </row>
    <row r="823" spans="1:12" x14ac:dyDescent="0.2">
      <c r="A823">
        <v>822</v>
      </c>
      <c r="B823">
        <v>8</v>
      </c>
      <c r="C823">
        <v>176</v>
      </c>
      <c r="D823">
        <v>90</v>
      </c>
      <c r="E823">
        <v>34</v>
      </c>
      <c r="F823">
        <v>300</v>
      </c>
      <c r="G823">
        <v>33.700000000000003</v>
      </c>
      <c r="H823">
        <v>0.46700000000000003</v>
      </c>
      <c r="I823">
        <v>58</v>
      </c>
      <c r="J823">
        <v>1</v>
      </c>
      <c r="K823" t="str">
        <f t="shared" si="24"/>
        <v>Senior</v>
      </c>
      <c r="L823" t="str">
        <f t="shared" si="25"/>
        <v>Obese</v>
      </c>
    </row>
    <row r="824" spans="1:12" x14ac:dyDescent="0.2">
      <c r="A824">
        <v>823</v>
      </c>
      <c r="B824">
        <v>7</v>
      </c>
      <c r="C824">
        <v>150</v>
      </c>
      <c r="D824">
        <v>66</v>
      </c>
      <c r="E824">
        <v>42</v>
      </c>
      <c r="F824">
        <v>342</v>
      </c>
      <c r="G824">
        <v>34.700000000000003</v>
      </c>
      <c r="H824">
        <v>0.71799999999999997</v>
      </c>
      <c r="I824">
        <v>42</v>
      </c>
      <c r="J824">
        <v>0</v>
      </c>
      <c r="K824" t="str">
        <f t="shared" si="24"/>
        <v>Middle-Aged</v>
      </c>
      <c r="L824" t="str">
        <f t="shared" si="25"/>
        <v>Obese</v>
      </c>
    </row>
    <row r="825" spans="1:12" x14ac:dyDescent="0.2">
      <c r="A825">
        <v>824</v>
      </c>
      <c r="B825">
        <v>1</v>
      </c>
      <c r="C825">
        <v>73</v>
      </c>
      <c r="D825">
        <v>50</v>
      </c>
      <c r="E825">
        <v>10</v>
      </c>
      <c r="F825">
        <v>0</v>
      </c>
      <c r="G825">
        <v>23</v>
      </c>
      <c r="H825">
        <v>0.248</v>
      </c>
      <c r="I825">
        <v>21</v>
      </c>
      <c r="J825">
        <v>0</v>
      </c>
      <c r="K825" t="str">
        <f t="shared" si="24"/>
        <v>Young</v>
      </c>
      <c r="L825" t="str">
        <f t="shared" si="25"/>
        <v>Normal</v>
      </c>
    </row>
    <row r="826" spans="1:12" x14ac:dyDescent="0.2">
      <c r="A826">
        <v>825</v>
      </c>
      <c r="B826">
        <v>7</v>
      </c>
      <c r="C826">
        <v>187</v>
      </c>
      <c r="D826">
        <v>68</v>
      </c>
      <c r="E826">
        <v>39</v>
      </c>
      <c r="F826">
        <v>304</v>
      </c>
      <c r="G826">
        <v>37.700000000000003</v>
      </c>
      <c r="H826">
        <v>0.254</v>
      </c>
      <c r="I826">
        <v>41</v>
      </c>
      <c r="J826">
        <v>1</v>
      </c>
      <c r="K826" t="str">
        <f t="shared" si="24"/>
        <v>Middle-Aged</v>
      </c>
      <c r="L826" t="str">
        <f t="shared" si="25"/>
        <v>Obese</v>
      </c>
    </row>
    <row r="827" spans="1:12" x14ac:dyDescent="0.2">
      <c r="A827">
        <v>826</v>
      </c>
      <c r="B827">
        <v>0</v>
      </c>
      <c r="C827">
        <v>100</v>
      </c>
      <c r="D827">
        <v>88</v>
      </c>
      <c r="E827">
        <v>60</v>
      </c>
      <c r="F827">
        <v>110</v>
      </c>
      <c r="G827">
        <v>46.8</v>
      </c>
      <c r="H827">
        <v>0.96199999999999997</v>
      </c>
      <c r="I827">
        <v>31</v>
      </c>
      <c r="J827">
        <v>0</v>
      </c>
      <c r="K827" t="str">
        <f t="shared" si="24"/>
        <v>Middle-Aged</v>
      </c>
      <c r="L827" t="str">
        <f t="shared" si="25"/>
        <v>Obese</v>
      </c>
    </row>
    <row r="828" spans="1:12" x14ac:dyDescent="0.2">
      <c r="A828">
        <v>827</v>
      </c>
      <c r="B828">
        <v>0</v>
      </c>
      <c r="C828">
        <v>146</v>
      </c>
      <c r="D828">
        <v>82</v>
      </c>
      <c r="E828">
        <v>0</v>
      </c>
      <c r="F828">
        <v>0</v>
      </c>
      <c r="G828">
        <v>40.5</v>
      </c>
      <c r="H828">
        <v>1.7809999999999999</v>
      </c>
      <c r="I828">
        <v>44</v>
      </c>
      <c r="J828">
        <v>0</v>
      </c>
      <c r="K828" t="str">
        <f t="shared" si="24"/>
        <v>Middle-Aged</v>
      </c>
      <c r="L828" t="str">
        <f t="shared" si="25"/>
        <v>Obese</v>
      </c>
    </row>
    <row r="829" spans="1:12" x14ac:dyDescent="0.2">
      <c r="A829">
        <v>828</v>
      </c>
      <c r="B829">
        <v>0</v>
      </c>
      <c r="C829">
        <v>105</v>
      </c>
      <c r="D829">
        <v>64</v>
      </c>
      <c r="E829">
        <v>41</v>
      </c>
      <c r="F829">
        <v>142</v>
      </c>
      <c r="G829">
        <v>41.5</v>
      </c>
      <c r="H829">
        <v>0.17299999999999999</v>
      </c>
      <c r="I829">
        <v>22</v>
      </c>
      <c r="J829">
        <v>0</v>
      </c>
      <c r="K829" t="str">
        <f t="shared" si="24"/>
        <v>Young</v>
      </c>
      <c r="L829" t="str">
        <f t="shared" si="25"/>
        <v>Obese</v>
      </c>
    </row>
    <row r="830" spans="1:12" x14ac:dyDescent="0.2">
      <c r="A830">
        <v>829</v>
      </c>
      <c r="B830">
        <v>2</v>
      </c>
      <c r="C830">
        <v>84</v>
      </c>
      <c r="D830">
        <v>121</v>
      </c>
      <c r="E830">
        <v>0</v>
      </c>
      <c r="F830">
        <v>0</v>
      </c>
      <c r="G830">
        <v>121</v>
      </c>
      <c r="H830">
        <v>0.30399999999999999</v>
      </c>
      <c r="I830">
        <v>21</v>
      </c>
      <c r="J830">
        <v>0</v>
      </c>
      <c r="K830" t="str">
        <f t="shared" si="24"/>
        <v>Young</v>
      </c>
      <c r="L830" t="str">
        <f t="shared" si="25"/>
        <v>Obese</v>
      </c>
    </row>
    <row r="831" spans="1:12" x14ac:dyDescent="0.2">
      <c r="A831">
        <v>830</v>
      </c>
      <c r="B831">
        <v>8</v>
      </c>
      <c r="C831">
        <v>133</v>
      </c>
      <c r="D831">
        <v>72</v>
      </c>
      <c r="E831">
        <v>0</v>
      </c>
      <c r="F831">
        <v>0</v>
      </c>
      <c r="G831">
        <v>32.9</v>
      </c>
      <c r="H831">
        <v>0.27</v>
      </c>
      <c r="I831">
        <v>39</v>
      </c>
      <c r="J831">
        <v>1</v>
      </c>
      <c r="K831" t="str">
        <f t="shared" si="24"/>
        <v>Middle-Aged</v>
      </c>
      <c r="L831" t="str">
        <f t="shared" si="25"/>
        <v>Obese</v>
      </c>
    </row>
    <row r="832" spans="1:12" x14ac:dyDescent="0.2">
      <c r="A832">
        <v>831</v>
      </c>
      <c r="B832">
        <v>5</v>
      </c>
      <c r="C832">
        <v>44</v>
      </c>
      <c r="D832">
        <v>62</v>
      </c>
      <c r="E832">
        <v>0</v>
      </c>
      <c r="F832">
        <v>0</v>
      </c>
      <c r="G832">
        <v>25</v>
      </c>
      <c r="H832">
        <v>0.58699999999999997</v>
      </c>
      <c r="I832">
        <v>36</v>
      </c>
      <c r="J832">
        <v>0</v>
      </c>
      <c r="K832" t="str">
        <f t="shared" si="24"/>
        <v>Middle-Aged</v>
      </c>
      <c r="L832" t="str">
        <f t="shared" si="25"/>
        <v>Overweight</v>
      </c>
    </row>
    <row r="833" spans="1:12" x14ac:dyDescent="0.2">
      <c r="A833">
        <v>832</v>
      </c>
      <c r="B833">
        <v>2</v>
      </c>
      <c r="C833">
        <v>141</v>
      </c>
      <c r="D833">
        <v>58</v>
      </c>
      <c r="E833">
        <v>34</v>
      </c>
      <c r="F833">
        <v>128</v>
      </c>
      <c r="G833">
        <v>25.4</v>
      </c>
      <c r="H833">
        <v>0.69899999999999995</v>
      </c>
      <c r="I833">
        <v>24</v>
      </c>
      <c r="J833">
        <v>0</v>
      </c>
      <c r="K833" t="str">
        <f t="shared" si="24"/>
        <v>Young</v>
      </c>
      <c r="L833" t="str">
        <f t="shared" si="25"/>
        <v>Overweight</v>
      </c>
    </row>
    <row r="834" spans="1:12" x14ac:dyDescent="0.2">
      <c r="A834">
        <v>833</v>
      </c>
      <c r="B834">
        <v>7</v>
      </c>
      <c r="C834">
        <v>114</v>
      </c>
      <c r="D834">
        <v>66</v>
      </c>
      <c r="E834">
        <v>0</v>
      </c>
      <c r="F834">
        <v>0</v>
      </c>
      <c r="G834">
        <v>32.799999999999997</v>
      </c>
      <c r="H834">
        <v>0.25800000000000001</v>
      </c>
      <c r="I834">
        <v>42</v>
      </c>
      <c r="J834">
        <v>1</v>
      </c>
      <c r="K834" t="str">
        <f t="shared" si="24"/>
        <v>Middle-Aged</v>
      </c>
      <c r="L834" t="str">
        <f t="shared" si="25"/>
        <v>Obese</v>
      </c>
    </row>
    <row r="835" spans="1:12" x14ac:dyDescent="0.2">
      <c r="A835">
        <v>834</v>
      </c>
      <c r="B835">
        <v>5</v>
      </c>
      <c r="C835">
        <v>99</v>
      </c>
      <c r="D835">
        <v>74</v>
      </c>
      <c r="E835">
        <v>27</v>
      </c>
      <c r="F835">
        <v>0</v>
      </c>
      <c r="G835">
        <v>29</v>
      </c>
      <c r="H835">
        <v>0.20300000000000001</v>
      </c>
      <c r="I835">
        <v>32</v>
      </c>
      <c r="J835">
        <v>0</v>
      </c>
      <c r="K835" t="str">
        <f t="shared" ref="K835:K898" si="26">IF(I835&lt;30, "Young", IF( I835&lt;45, "Middle-Aged", "Senior"))</f>
        <v>Middle-Aged</v>
      </c>
      <c r="L835" t="str">
        <f t="shared" ref="L835:L898" si="27">IF(G835&lt;18.5, "Underweight", IF(G835&lt;25, "Normal", IF(G835&lt;30, "Overweight", "Obese")))</f>
        <v>Overweight</v>
      </c>
    </row>
    <row r="836" spans="1:12" x14ac:dyDescent="0.2">
      <c r="A836">
        <v>835</v>
      </c>
      <c r="B836">
        <v>0</v>
      </c>
      <c r="C836">
        <v>109</v>
      </c>
      <c r="D836">
        <v>88</v>
      </c>
      <c r="E836">
        <v>30</v>
      </c>
      <c r="F836">
        <v>0</v>
      </c>
      <c r="G836">
        <v>32.5</v>
      </c>
      <c r="H836">
        <v>0.85499999999999998</v>
      </c>
      <c r="I836">
        <v>38</v>
      </c>
      <c r="J836">
        <v>1</v>
      </c>
      <c r="K836" t="str">
        <f t="shared" si="26"/>
        <v>Middle-Aged</v>
      </c>
      <c r="L836" t="str">
        <f t="shared" si="27"/>
        <v>Obese</v>
      </c>
    </row>
    <row r="837" spans="1:12" x14ac:dyDescent="0.2">
      <c r="A837">
        <v>836</v>
      </c>
      <c r="B837">
        <v>2</v>
      </c>
      <c r="C837">
        <v>109</v>
      </c>
      <c r="D837">
        <v>92</v>
      </c>
      <c r="E837">
        <v>0</v>
      </c>
      <c r="F837">
        <v>0</v>
      </c>
      <c r="G837">
        <v>42.7</v>
      </c>
      <c r="H837">
        <v>0.84499999999999997</v>
      </c>
      <c r="I837">
        <v>54</v>
      </c>
      <c r="J837">
        <v>0</v>
      </c>
      <c r="K837" t="str">
        <f t="shared" si="26"/>
        <v>Senior</v>
      </c>
      <c r="L837" t="str">
        <f t="shared" si="27"/>
        <v>Obese</v>
      </c>
    </row>
    <row r="838" spans="1:12" x14ac:dyDescent="0.2">
      <c r="A838">
        <v>837</v>
      </c>
      <c r="B838">
        <v>1</v>
      </c>
      <c r="C838">
        <v>95</v>
      </c>
      <c r="D838">
        <v>66</v>
      </c>
      <c r="E838">
        <v>13</v>
      </c>
      <c r="F838">
        <v>38</v>
      </c>
      <c r="G838">
        <v>19.600000000000001</v>
      </c>
      <c r="H838">
        <v>0.33400000000000002</v>
      </c>
      <c r="I838">
        <v>25</v>
      </c>
      <c r="J838">
        <v>0</v>
      </c>
      <c r="K838" t="str">
        <f t="shared" si="26"/>
        <v>Young</v>
      </c>
      <c r="L838" t="str">
        <f t="shared" si="27"/>
        <v>Normal</v>
      </c>
    </row>
    <row r="839" spans="1:12" x14ac:dyDescent="0.2">
      <c r="A839">
        <v>838</v>
      </c>
      <c r="B839">
        <v>4</v>
      </c>
      <c r="C839">
        <v>146</v>
      </c>
      <c r="D839">
        <v>85</v>
      </c>
      <c r="E839">
        <v>27</v>
      </c>
      <c r="F839">
        <v>100</v>
      </c>
      <c r="G839">
        <v>28.9</v>
      </c>
      <c r="H839">
        <v>0.189</v>
      </c>
      <c r="I839">
        <v>27</v>
      </c>
      <c r="J839">
        <v>0</v>
      </c>
      <c r="K839" t="str">
        <f t="shared" si="26"/>
        <v>Young</v>
      </c>
      <c r="L839" t="str">
        <f t="shared" si="27"/>
        <v>Overweight</v>
      </c>
    </row>
    <row r="840" spans="1:12" x14ac:dyDescent="0.2">
      <c r="A840">
        <v>839</v>
      </c>
      <c r="B840">
        <v>2</v>
      </c>
      <c r="C840">
        <v>100</v>
      </c>
      <c r="D840">
        <v>66</v>
      </c>
      <c r="E840">
        <v>20</v>
      </c>
      <c r="F840">
        <v>90</v>
      </c>
      <c r="G840">
        <v>32.9</v>
      </c>
      <c r="H840">
        <v>0.86699999999999999</v>
      </c>
      <c r="I840">
        <v>28</v>
      </c>
      <c r="J840">
        <v>1</v>
      </c>
      <c r="K840" t="str">
        <f t="shared" si="26"/>
        <v>Young</v>
      </c>
      <c r="L840" t="str">
        <f t="shared" si="27"/>
        <v>Obese</v>
      </c>
    </row>
    <row r="841" spans="1:12" x14ac:dyDescent="0.2">
      <c r="A841">
        <v>840</v>
      </c>
      <c r="B841">
        <v>5</v>
      </c>
      <c r="C841">
        <v>139</v>
      </c>
      <c r="D841">
        <v>64</v>
      </c>
      <c r="E841">
        <v>35</v>
      </c>
      <c r="F841">
        <v>140</v>
      </c>
      <c r="G841">
        <v>28.6</v>
      </c>
      <c r="H841">
        <v>0.41099999999999998</v>
      </c>
      <c r="I841">
        <v>26</v>
      </c>
      <c r="J841">
        <v>0</v>
      </c>
      <c r="K841" t="str">
        <f t="shared" si="26"/>
        <v>Young</v>
      </c>
      <c r="L841" t="str">
        <f t="shared" si="27"/>
        <v>Overweight</v>
      </c>
    </row>
    <row r="842" spans="1:12" x14ac:dyDescent="0.2">
      <c r="A842">
        <v>841</v>
      </c>
      <c r="B842">
        <v>13</v>
      </c>
      <c r="C842">
        <v>126</v>
      </c>
      <c r="D842">
        <v>90</v>
      </c>
      <c r="E842">
        <v>0</v>
      </c>
      <c r="F842">
        <v>0</v>
      </c>
      <c r="G842">
        <v>43.4</v>
      </c>
      <c r="H842">
        <v>0.58299999999999996</v>
      </c>
      <c r="I842">
        <v>42</v>
      </c>
      <c r="J842">
        <v>1</v>
      </c>
      <c r="K842" t="str">
        <f t="shared" si="26"/>
        <v>Middle-Aged</v>
      </c>
      <c r="L842" t="str">
        <f t="shared" si="27"/>
        <v>Obese</v>
      </c>
    </row>
    <row r="843" spans="1:12" x14ac:dyDescent="0.2">
      <c r="A843">
        <v>842</v>
      </c>
      <c r="B843">
        <v>4</v>
      </c>
      <c r="C843">
        <v>129</v>
      </c>
      <c r="D843">
        <v>86</v>
      </c>
      <c r="E843">
        <v>20</v>
      </c>
      <c r="F843">
        <v>270</v>
      </c>
      <c r="G843">
        <v>35.1</v>
      </c>
      <c r="H843">
        <v>0.23100000000000001</v>
      </c>
      <c r="I843">
        <v>23</v>
      </c>
      <c r="J843">
        <v>0</v>
      </c>
      <c r="K843" t="str">
        <f t="shared" si="26"/>
        <v>Young</v>
      </c>
      <c r="L843" t="str">
        <f t="shared" si="27"/>
        <v>Obese</v>
      </c>
    </row>
    <row r="844" spans="1:12" x14ac:dyDescent="0.2">
      <c r="A844">
        <v>843</v>
      </c>
      <c r="B844">
        <v>1</v>
      </c>
      <c r="C844">
        <v>79</v>
      </c>
      <c r="D844">
        <v>75</v>
      </c>
      <c r="E844">
        <v>30</v>
      </c>
      <c r="F844">
        <v>0</v>
      </c>
      <c r="G844">
        <v>32</v>
      </c>
      <c r="H844">
        <v>0.39600000000000002</v>
      </c>
      <c r="I844">
        <v>22</v>
      </c>
      <c r="J844">
        <v>0</v>
      </c>
      <c r="K844" t="str">
        <f t="shared" si="26"/>
        <v>Young</v>
      </c>
      <c r="L844" t="str">
        <f t="shared" si="27"/>
        <v>Obese</v>
      </c>
    </row>
    <row r="845" spans="1:12" x14ac:dyDescent="0.2">
      <c r="A845">
        <v>844</v>
      </c>
      <c r="B845">
        <v>1</v>
      </c>
      <c r="C845">
        <v>121</v>
      </c>
      <c r="D845">
        <v>48</v>
      </c>
      <c r="E845">
        <v>20</v>
      </c>
      <c r="F845">
        <v>0</v>
      </c>
      <c r="G845">
        <v>24.7</v>
      </c>
      <c r="H845">
        <v>0.14000000000000001</v>
      </c>
      <c r="I845">
        <v>22</v>
      </c>
      <c r="J845">
        <v>0</v>
      </c>
      <c r="K845" t="str">
        <f t="shared" si="26"/>
        <v>Young</v>
      </c>
      <c r="L845" t="str">
        <f t="shared" si="27"/>
        <v>Normal</v>
      </c>
    </row>
    <row r="846" spans="1:12" x14ac:dyDescent="0.2">
      <c r="A846">
        <v>845</v>
      </c>
      <c r="B846">
        <v>7</v>
      </c>
      <c r="C846">
        <v>62</v>
      </c>
      <c r="D846">
        <v>78</v>
      </c>
      <c r="E846">
        <v>0</v>
      </c>
      <c r="F846">
        <v>0</v>
      </c>
      <c r="G846">
        <v>32.6</v>
      </c>
      <c r="H846">
        <v>0.39100000000000001</v>
      </c>
      <c r="I846">
        <v>41</v>
      </c>
      <c r="J846">
        <v>0</v>
      </c>
      <c r="K846" t="str">
        <f t="shared" si="26"/>
        <v>Middle-Aged</v>
      </c>
      <c r="L846" t="str">
        <f t="shared" si="27"/>
        <v>Obese</v>
      </c>
    </row>
    <row r="847" spans="1:12" x14ac:dyDescent="0.2">
      <c r="A847">
        <v>846</v>
      </c>
      <c r="B847">
        <v>5</v>
      </c>
      <c r="C847">
        <v>95</v>
      </c>
      <c r="D847">
        <v>72</v>
      </c>
      <c r="E847">
        <v>33</v>
      </c>
      <c r="F847">
        <v>0</v>
      </c>
      <c r="G847">
        <v>37.700000000000003</v>
      </c>
      <c r="H847">
        <v>0.37</v>
      </c>
      <c r="I847">
        <v>27</v>
      </c>
      <c r="J847">
        <v>0</v>
      </c>
      <c r="K847" t="str">
        <f t="shared" si="26"/>
        <v>Young</v>
      </c>
      <c r="L847" t="str">
        <f t="shared" si="27"/>
        <v>Obese</v>
      </c>
    </row>
    <row r="848" spans="1:12" x14ac:dyDescent="0.2">
      <c r="A848">
        <v>847</v>
      </c>
      <c r="B848">
        <v>0</v>
      </c>
      <c r="C848">
        <v>131</v>
      </c>
      <c r="D848">
        <v>121</v>
      </c>
      <c r="E848">
        <v>0</v>
      </c>
      <c r="F848">
        <v>0</v>
      </c>
      <c r="G848">
        <v>43.2</v>
      </c>
      <c r="H848">
        <v>0.27</v>
      </c>
      <c r="I848">
        <v>26</v>
      </c>
      <c r="J848">
        <v>1</v>
      </c>
      <c r="K848" t="str">
        <f t="shared" si="26"/>
        <v>Young</v>
      </c>
      <c r="L848" t="str">
        <f t="shared" si="27"/>
        <v>Obese</v>
      </c>
    </row>
    <row r="849" spans="1:12" x14ac:dyDescent="0.2">
      <c r="A849">
        <v>848</v>
      </c>
      <c r="B849">
        <v>2</v>
      </c>
      <c r="C849">
        <v>112</v>
      </c>
      <c r="D849">
        <v>66</v>
      </c>
      <c r="E849">
        <v>22</v>
      </c>
      <c r="F849">
        <v>0</v>
      </c>
      <c r="G849">
        <v>25</v>
      </c>
      <c r="H849">
        <v>0.307</v>
      </c>
      <c r="I849">
        <v>24</v>
      </c>
      <c r="J849">
        <v>0</v>
      </c>
      <c r="K849" t="str">
        <f t="shared" si="26"/>
        <v>Young</v>
      </c>
      <c r="L849" t="str">
        <f t="shared" si="27"/>
        <v>Overweight</v>
      </c>
    </row>
    <row r="850" spans="1:12" x14ac:dyDescent="0.2">
      <c r="A850">
        <v>849</v>
      </c>
      <c r="B850">
        <v>3</v>
      </c>
      <c r="C850">
        <v>113</v>
      </c>
      <c r="D850">
        <v>44</v>
      </c>
      <c r="E850">
        <v>13</v>
      </c>
      <c r="F850">
        <v>0</v>
      </c>
      <c r="G850">
        <v>22.4</v>
      </c>
      <c r="H850">
        <v>0.14000000000000001</v>
      </c>
      <c r="I850">
        <v>22</v>
      </c>
      <c r="J850">
        <v>0</v>
      </c>
      <c r="K850" t="str">
        <f t="shared" si="26"/>
        <v>Young</v>
      </c>
      <c r="L850" t="str">
        <f t="shared" si="27"/>
        <v>Normal</v>
      </c>
    </row>
    <row r="851" spans="1:12" x14ac:dyDescent="0.2">
      <c r="A851">
        <v>850</v>
      </c>
      <c r="B851">
        <v>2</v>
      </c>
      <c r="C851">
        <v>74</v>
      </c>
      <c r="D851">
        <v>121</v>
      </c>
      <c r="E851">
        <v>0</v>
      </c>
      <c r="F851">
        <v>0</v>
      </c>
      <c r="G851">
        <v>121</v>
      </c>
      <c r="H851">
        <v>0.10199999999999999</v>
      </c>
      <c r="I851">
        <v>22</v>
      </c>
      <c r="J851">
        <v>0</v>
      </c>
      <c r="K851" t="str">
        <f t="shared" si="26"/>
        <v>Young</v>
      </c>
      <c r="L851" t="str">
        <f t="shared" si="27"/>
        <v>Obese</v>
      </c>
    </row>
    <row r="852" spans="1:12" x14ac:dyDescent="0.2">
      <c r="A852">
        <v>851</v>
      </c>
      <c r="B852">
        <v>7</v>
      </c>
      <c r="C852">
        <v>83</v>
      </c>
      <c r="D852">
        <v>78</v>
      </c>
      <c r="E852">
        <v>26</v>
      </c>
      <c r="F852">
        <v>71</v>
      </c>
      <c r="G852">
        <v>29.3</v>
      </c>
      <c r="H852">
        <v>0.76700000000000002</v>
      </c>
      <c r="I852">
        <v>36</v>
      </c>
      <c r="J852">
        <v>0</v>
      </c>
      <c r="K852" t="str">
        <f t="shared" si="26"/>
        <v>Middle-Aged</v>
      </c>
      <c r="L852" t="str">
        <f t="shared" si="27"/>
        <v>Overweight</v>
      </c>
    </row>
    <row r="853" spans="1:12" x14ac:dyDescent="0.2">
      <c r="A853">
        <v>852</v>
      </c>
      <c r="B853">
        <v>0</v>
      </c>
      <c r="C853">
        <v>101</v>
      </c>
      <c r="D853">
        <v>65</v>
      </c>
      <c r="E853">
        <v>28</v>
      </c>
      <c r="F853">
        <v>0</v>
      </c>
      <c r="G853">
        <v>24.6</v>
      </c>
      <c r="H853">
        <v>0.23699999999999999</v>
      </c>
      <c r="I853">
        <v>22</v>
      </c>
      <c r="J853">
        <v>0</v>
      </c>
      <c r="K853" t="str">
        <f t="shared" si="26"/>
        <v>Young</v>
      </c>
      <c r="L853" t="str">
        <f t="shared" si="27"/>
        <v>Normal</v>
      </c>
    </row>
    <row r="854" spans="1:12" x14ac:dyDescent="0.2">
      <c r="A854">
        <v>853</v>
      </c>
      <c r="B854">
        <v>5</v>
      </c>
      <c r="C854">
        <v>137</v>
      </c>
      <c r="D854">
        <v>108</v>
      </c>
      <c r="E854">
        <v>0</v>
      </c>
      <c r="F854">
        <v>0</v>
      </c>
      <c r="G854">
        <v>48.8</v>
      </c>
      <c r="H854">
        <v>0.22700000000000001</v>
      </c>
      <c r="I854">
        <v>37</v>
      </c>
      <c r="J854">
        <v>1</v>
      </c>
      <c r="K854" t="str">
        <f t="shared" si="26"/>
        <v>Middle-Aged</v>
      </c>
      <c r="L854" t="str">
        <f t="shared" si="27"/>
        <v>Obese</v>
      </c>
    </row>
    <row r="855" spans="1:12" x14ac:dyDescent="0.2">
      <c r="A855">
        <v>854</v>
      </c>
      <c r="B855">
        <v>2</v>
      </c>
      <c r="C855">
        <v>110</v>
      </c>
      <c r="D855">
        <v>74</v>
      </c>
      <c r="E855">
        <v>29</v>
      </c>
      <c r="F855">
        <v>125</v>
      </c>
      <c r="G855">
        <v>32.4</v>
      </c>
      <c r="H855">
        <v>0.69799999999999995</v>
      </c>
      <c r="I855">
        <v>27</v>
      </c>
      <c r="J855">
        <v>0</v>
      </c>
      <c r="K855" t="str">
        <f t="shared" si="26"/>
        <v>Young</v>
      </c>
      <c r="L855" t="str">
        <f t="shared" si="27"/>
        <v>Obese</v>
      </c>
    </row>
    <row r="856" spans="1:12" x14ac:dyDescent="0.2">
      <c r="A856">
        <v>855</v>
      </c>
      <c r="B856">
        <v>13</v>
      </c>
      <c r="C856">
        <v>106</v>
      </c>
      <c r="D856">
        <v>72</v>
      </c>
      <c r="E856">
        <v>54</v>
      </c>
      <c r="F856">
        <v>0</v>
      </c>
      <c r="G856">
        <v>36.6</v>
      </c>
      <c r="H856">
        <v>0.17799999999999999</v>
      </c>
      <c r="I856">
        <v>45</v>
      </c>
      <c r="J856">
        <v>0</v>
      </c>
      <c r="K856" t="str">
        <f t="shared" si="26"/>
        <v>Senior</v>
      </c>
      <c r="L856" t="str">
        <f t="shared" si="27"/>
        <v>Obese</v>
      </c>
    </row>
    <row r="857" spans="1:12" x14ac:dyDescent="0.2">
      <c r="A857">
        <v>856</v>
      </c>
      <c r="B857">
        <v>2</v>
      </c>
      <c r="C857">
        <v>100</v>
      </c>
      <c r="D857">
        <v>68</v>
      </c>
      <c r="E857">
        <v>25</v>
      </c>
      <c r="F857">
        <v>71</v>
      </c>
      <c r="G857">
        <v>38.5</v>
      </c>
      <c r="H857">
        <v>0.32400000000000001</v>
      </c>
      <c r="I857">
        <v>26</v>
      </c>
      <c r="J857">
        <v>0</v>
      </c>
      <c r="K857" t="str">
        <f t="shared" si="26"/>
        <v>Young</v>
      </c>
      <c r="L857" t="str">
        <f t="shared" si="27"/>
        <v>Obese</v>
      </c>
    </row>
    <row r="858" spans="1:12" x14ac:dyDescent="0.2">
      <c r="A858">
        <v>857</v>
      </c>
      <c r="B858">
        <v>15</v>
      </c>
      <c r="C858">
        <v>136</v>
      </c>
      <c r="D858">
        <v>70</v>
      </c>
      <c r="E858">
        <v>32</v>
      </c>
      <c r="F858">
        <v>110</v>
      </c>
      <c r="G858">
        <v>37.1</v>
      </c>
      <c r="H858">
        <v>0.153</v>
      </c>
      <c r="I858">
        <v>43</v>
      </c>
      <c r="J858">
        <v>1</v>
      </c>
      <c r="K858" t="str">
        <f t="shared" si="26"/>
        <v>Middle-Aged</v>
      </c>
      <c r="L858" t="str">
        <f t="shared" si="27"/>
        <v>Obese</v>
      </c>
    </row>
    <row r="859" spans="1:12" x14ac:dyDescent="0.2">
      <c r="A859">
        <v>858</v>
      </c>
      <c r="B859">
        <v>1</v>
      </c>
      <c r="C859">
        <v>107</v>
      </c>
      <c r="D859">
        <v>68</v>
      </c>
      <c r="E859">
        <v>19</v>
      </c>
      <c r="F859">
        <v>0</v>
      </c>
      <c r="G859">
        <v>26.5</v>
      </c>
      <c r="H859">
        <v>0.16500000000000001</v>
      </c>
      <c r="I859">
        <v>24</v>
      </c>
      <c r="J859">
        <v>0</v>
      </c>
      <c r="K859" t="str">
        <f t="shared" si="26"/>
        <v>Young</v>
      </c>
      <c r="L859" t="str">
        <f t="shared" si="27"/>
        <v>Overweight</v>
      </c>
    </row>
    <row r="860" spans="1:12" x14ac:dyDescent="0.2">
      <c r="A860">
        <v>859</v>
      </c>
      <c r="B860">
        <v>1</v>
      </c>
      <c r="C860">
        <v>80</v>
      </c>
      <c r="D860">
        <v>55</v>
      </c>
      <c r="E860">
        <v>0</v>
      </c>
      <c r="F860">
        <v>0</v>
      </c>
      <c r="G860">
        <v>19.100000000000001</v>
      </c>
      <c r="H860">
        <v>0.25800000000000001</v>
      </c>
      <c r="I860">
        <v>21</v>
      </c>
      <c r="J860">
        <v>0</v>
      </c>
      <c r="K860" t="str">
        <f t="shared" si="26"/>
        <v>Young</v>
      </c>
      <c r="L860" t="str">
        <f t="shared" si="27"/>
        <v>Normal</v>
      </c>
    </row>
    <row r="861" spans="1:12" x14ac:dyDescent="0.2">
      <c r="A861">
        <v>860</v>
      </c>
      <c r="B861">
        <v>4</v>
      </c>
      <c r="C861">
        <v>123</v>
      </c>
      <c r="D861">
        <v>80</v>
      </c>
      <c r="E861">
        <v>15</v>
      </c>
      <c r="F861">
        <v>176</v>
      </c>
      <c r="G861">
        <v>32</v>
      </c>
      <c r="H861">
        <v>0.443</v>
      </c>
      <c r="I861">
        <v>34</v>
      </c>
      <c r="J861">
        <v>0</v>
      </c>
      <c r="K861" t="str">
        <f t="shared" si="26"/>
        <v>Middle-Aged</v>
      </c>
      <c r="L861" t="str">
        <f t="shared" si="27"/>
        <v>Obese</v>
      </c>
    </row>
    <row r="862" spans="1:12" x14ac:dyDescent="0.2">
      <c r="A862">
        <v>861</v>
      </c>
      <c r="B862">
        <v>7</v>
      </c>
      <c r="C862">
        <v>81</v>
      </c>
      <c r="D862">
        <v>78</v>
      </c>
      <c r="E862">
        <v>40</v>
      </c>
      <c r="F862">
        <v>48</v>
      </c>
      <c r="G862">
        <v>46.7</v>
      </c>
      <c r="H862">
        <v>0.26100000000000001</v>
      </c>
      <c r="I862">
        <v>42</v>
      </c>
      <c r="J862">
        <v>0</v>
      </c>
      <c r="K862" t="str">
        <f t="shared" si="26"/>
        <v>Middle-Aged</v>
      </c>
      <c r="L862" t="str">
        <f t="shared" si="27"/>
        <v>Obese</v>
      </c>
    </row>
    <row r="863" spans="1:12" x14ac:dyDescent="0.2">
      <c r="A863">
        <v>862</v>
      </c>
      <c r="B863">
        <v>4</v>
      </c>
      <c r="C863">
        <v>134</v>
      </c>
      <c r="D863">
        <v>72</v>
      </c>
      <c r="E863">
        <v>0</v>
      </c>
      <c r="F863">
        <v>0</v>
      </c>
      <c r="G863">
        <v>23.8</v>
      </c>
      <c r="H863">
        <v>0.27700000000000002</v>
      </c>
      <c r="I863">
        <v>60</v>
      </c>
      <c r="J863">
        <v>1</v>
      </c>
      <c r="K863" t="str">
        <f t="shared" si="26"/>
        <v>Senior</v>
      </c>
      <c r="L863" t="str">
        <f t="shared" si="27"/>
        <v>Normal</v>
      </c>
    </row>
    <row r="864" spans="1:12" x14ac:dyDescent="0.2">
      <c r="A864">
        <v>863</v>
      </c>
      <c r="B864">
        <v>2</v>
      </c>
      <c r="C864">
        <v>142</v>
      </c>
      <c r="D864">
        <v>82</v>
      </c>
      <c r="E864">
        <v>18</v>
      </c>
      <c r="F864">
        <v>64</v>
      </c>
      <c r="G864">
        <v>24.7</v>
      </c>
      <c r="H864">
        <v>0.76100000000000001</v>
      </c>
      <c r="I864">
        <v>21</v>
      </c>
      <c r="J864">
        <v>0</v>
      </c>
      <c r="K864" t="str">
        <f t="shared" si="26"/>
        <v>Young</v>
      </c>
      <c r="L864" t="str">
        <f t="shared" si="27"/>
        <v>Normal</v>
      </c>
    </row>
    <row r="865" spans="1:12" x14ac:dyDescent="0.2">
      <c r="A865">
        <v>864</v>
      </c>
      <c r="B865">
        <v>6</v>
      </c>
      <c r="C865">
        <v>144</v>
      </c>
      <c r="D865">
        <v>72</v>
      </c>
      <c r="E865">
        <v>27</v>
      </c>
      <c r="F865">
        <v>228</v>
      </c>
      <c r="G865">
        <v>33.9</v>
      </c>
      <c r="H865">
        <v>0.255</v>
      </c>
      <c r="I865">
        <v>40</v>
      </c>
      <c r="J865">
        <v>0</v>
      </c>
      <c r="K865" t="str">
        <f t="shared" si="26"/>
        <v>Middle-Aged</v>
      </c>
      <c r="L865" t="str">
        <f t="shared" si="27"/>
        <v>Obese</v>
      </c>
    </row>
    <row r="866" spans="1:12" x14ac:dyDescent="0.2">
      <c r="A866">
        <v>865</v>
      </c>
      <c r="B866">
        <v>2</v>
      </c>
      <c r="C866">
        <v>92</v>
      </c>
      <c r="D866">
        <v>62</v>
      </c>
      <c r="E866">
        <v>28</v>
      </c>
      <c r="F866">
        <v>0</v>
      </c>
      <c r="G866">
        <v>31.6</v>
      </c>
      <c r="H866">
        <v>0.13</v>
      </c>
      <c r="I866">
        <v>24</v>
      </c>
      <c r="J866">
        <v>0</v>
      </c>
      <c r="K866" t="str">
        <f t="shared" si="26"/>
        <v>Young</v>
      </c>
      <c r="L866" t="str">
        <f t="shared" si="27"/>
        <v>Obese</v>
      </c>
    </row>
    <row r="867" spans="1:12" x14ac:dyDescent="0.2">
      <c r="A867">
        <v>866</v>
      </c>
      <c r="B867">
        <v>1</v>
      </c>
      <c r="C867">
        <v>71</v>
      </c>
      <c r="D867">
        <v>48</v>
      </c>
      <c r="E867">
        <v>18</v>
      </c>
      <c r="F867">
        <v>76</v>
      </c>
      <c r="G867">
        <v>20.399999999999999</v>
      </c>
      <c r="H867">
        <v>0.32300000000000001</v>
      </c>
      <c r="I867">
        <v>22</v>
      </c>
      <c r="J867">
        <v>0</v>
      </c>
      <c r="K867" t="str">
        <f t="shared" si="26"/>
        <v>Young</v>
      </c>
      <c r="L867" t="str">
        <f t="shared" si="27"/>
        <v>Normal</v>
      </c>
    </row>
    <row r="868" spans="1:12" x14ac:dyDescent="0.2">
      <c r="A868">
        <v>867</v>
      </c>
      <c r="B868">
        <v>6</v>
      </c>
      <c r="C868">
        <v>93</v>
      </c>
      <c r="D868">
        <v>50</v>
      </c>
      <c r="E868">
        <v>30</v>
      </c>
      <c r="F868">
        <v>64</v>
      </c>
      <c r="G868">
        <v>28.7</v>
      </c>
      <c r="H868">
        <v>0.35599999999999998</v>
      </c>
      <c r="I868">
        <v>23</v>
      </c>
      <c r="J868">
        <v>0</v>
      </c>
      <c r="K868" t="str">
        <f t="shared" si="26"/>
        <v>Young</v>
      </c>
      <c r="L868" t="str">
        <f t="shared" si="27"/>
        <v>Overweight</v>
      </c>
    </row>
    <row r="869" spans="1:12" x14ac:dyDescent="0.2">
      <c r="A869">
        <v>868</v>
      </c>
      <c r="B869">
        <v>1</v>
      </c>
      <c r="C869">
        <v>122</v>
      </c>
      <c r="D869">
        <v>90</v>
      </c>
      <c r="E869">
        <v>51</v>
      </c>
      <c r="F869">
        <v>220</v>
      </c>
      <c r="G869">
        <v>49.7</v>
      </c>
      <c r="H869">
        <v>0.32500000000000001</v>
      </c>
      <c r="I869">
        <v>31</v>
      </c>
      <c r="J869">
        <v>1</v>
      </c>
      <c r="K869" t="str">
        <f t="shared" si="26"/>
        <v>Middle-Aged</v>
      </c>
      <c r="L869" t="str">
        <f t="shared" si="27"/>
        <v>Obese</v>
      </c>
    </row>
    <row r="870" spans="1:12" x14ac:dyDescent="0.2">
      <c r="A870">
        <v>869</v>
      </c>
      <c r="B870">
        <v>1</v>
      </c>
      <c r="C870">
        <v>163</v>
      </c>
      <c r="D870">
        <v>72</v>
      </c>
      <c r="E870">
        <v>0</v>
      </c>
      <c r="F870">
        <v>0</v>
      </c>
      <c r="G870">
        <v>39</v>
      </c>
      <c r="H870">
        <v>1.222</v>
      </c>
      <c r="I870">
        <v>33</v>
      </c>
      <c r="J870">
        <v>1</v>
      </c>
      <c r="K870" t="str">
        <f t="shared" si="26"/>
        <v>Middle-Aged</v>
      </c>
      <c r="L870" t="str">
        <f t="shared" si="27"/>
        <v>Obese</v>
      </c>
    </row>
    <row r="871" spans="1:12" x14ac:dyDescent="0.2">
      <c r="A871">
        <v>870</v>
      </c>
      <c r="B871">
        <v>1</v>
      </c>
      <c r="C871">
        <v>151</v>
      </c>
      <c r="D871">
        <v>60</v>
      </c>
      <c r="E871">
        <v>0</v>
      </c>
      <c r="F871">
        <v>0</v>
      </c>
      <c r="G871">
        <v>26.1</v>
      </c>
      <c r="H871">
        <v>0.17899999999999999</v>
      </c>
      <c r="I871">
        <v>22</v>
      </c>
      <c r="J871">
        <v>0</v>
      </c>
      <c r="K871" t="str">
        <f t="shared" si="26"/>
        <v>Young</v>
      </c>
      <c r="L871" t="str">
        <f t="shared" si="27"/>
        <v>Overweight</v>
      </c>
    </row>
    <row r="872" spans="1:12" x14ac:dyDescent="0.2">
      <c r="A872">
        <v>871</v>
      </c>
      <c r="B872">
        <v>0</v>
      </c>
      <c r="C872">
        <v>125</v>
      </c>
      <c r="D872">
        <v>96</v>
      </c>
      <c r="E872">
        <v>0</v>
      </c>
      <c r="F872">
        <v>0</v>
      </c>
      <c r="G872">
        <v>22.5</v>
      </c>
      <c r="H872">
        <v>0.26200000000000001</v>
      </c>
      <c r="I872">
        <v>21</v>
      </c>
      <c r="J872">
        <v>0</v>
      </c>
      <c r="K872" t="str">
        <f t="shared" si="26"/>
        <v>Young</v>
      </c>
      <c r="L872" t="str">
        <f t="shared" si="27"/>
        <v>Normal</v>
      </c>
    </row>
    <row r="873" spans="1:12" x14ac:dyDescent="0.2">
      <c r="A873">
        <v>872</v>
      </c>
      <c r="B873">
        <v>1</v>
      </c>
      <c r="C873">
        <v>81</v>
      </c>
      <c r="D873">
        <v>72</v>
      </c>
      <c r="E873">
        <v>18</v>
      </c>
      <c r="F873">
        <v>40</v>
      </c>
      <c r="G873">
        <v>26.6</v>
      </c>
      <c r="H873">
        <v>0.28299999999999997</v>
      </c>
      <c r="I873">
        <v>24</v>
      </c>
      <c r="J873">
        <v>0</v>
      </c>
      <c r="K873" t="str">
        <f t="shared" si="26"/>
        <v>Young</v>
      </c>
      <c r="L873" t="str">
        <f t="shared" si="27"/>
        <v>Overweight</v>
      </c>
    </row>
    <row r="874" spans="1:12" x14ac:dyDescent="0.2">
      <c r="A874">
        <v>873</v>
      </c>
      <c r="B874">
        <v>2</v>
      </c>
      <c r="C874">
        <v>85</v>
      </c>
      <c r="D874">
        <v>65</v>
      </c>
      <c r="E874">
        <v>0</v>
      </c>
      <c r="F874">
        <v>0</v>
      </c>
      <c r="G874">
        <v>39.6</v>
      </c>
      <c r="H874">
        <v>0.93</v>
      </c>
      <c r="I874">
        <v>27</v>
      </c>
      <c r="J874">
        <v>0</v>
      </c>
      <c r="K874" t="str">
        <f t="shared" si="26"/>
        <v>Young</v>
      </c>
      <c r="L874" t="str">
        <f t="shared" si="27"/>
        <v>Obese</v>
      </c>
    </row>
    <row r="875" spans="1:12" x14ac:dyDescent="0.2">
      <c r="A875">
        <v>874</v>
      </c>
      <c r="B875">
        <v>1</v>
      </c>
      <c r="C875">
        <v>126</v>
      </c>
      <c r="D875">
        <v>56</v>
      </c>
      <c r="E875">
        <v>29</v>
      </c>
      <c r="F875">
        <v>152</v>
      </c>
      <c r="G875">
        <v>28.7</v>
      </c>
      <c r="H875">
        <v>0.80100000000000005</v>
      </c>
      <c r="I875">
        <v>21</v>
      </c>
      <c r="J875">
        <v>0</v>
      </c>
      <c r="K875" t="str">
        <f t="shared" si="26"/>
        <v>Young</v>
      </c>
      <c r="L875" t="str">
        <f t="shared" si="27"/>
        <v>Overweight</v>
      </c>
    </row>
    <row r="876" spans="1:12" x14ac:dyDescent="0.2">
      <c r="A876">
        <v>875</v>
      </c>
      <c r="B876">
        <v>1</v>
      </c>
      <c r="C876">
        <v>96</v>
      </c>
      <c r="D876">
        <v>122</v>
      </c>
      <c r="E876">
        <v>0</v>
      </c>
      <c r="F876">
        <v>0</v>
      </c>
      <c r="G876">
        <v>22.4</v>
      </c>
      <c r="H876">
        <v>0.20699999999999999</v>
      </c>
      <c r="I876">
        <v>27</v>
      </c>
      <c r="J876">
        <v>0</v>
      </c>
      <c r="K876" t="str">
        <f t="shared" si="26"/>
        <v>Young</v>
      </c>
      <c r="L876" t="str">
        <f t="shared" si="27"/>
        <v>Normal</v>
      </c>
    </row>
    <row r="877" spans="1:12" x14ac:dyDescent="0.2">
      <c r="A877">
        <v>876</v>
      </c>
      <c r="B877">
        <v>4</v>
      </c>
      <c r="C877">
        <v>144</v>
      </c>
      <c r="D877">
        <v>58</v>
      </c>
      <c r="E877">
        <v>28</v>
      </c>
      <c r="F877">
        <v>140</v>
      </c>
      <c r="G877">
        <v>29.5</v>
      </c>
      <c r="H877">
        <v>0.28699999999999998</v>
      </c>
      <c r="I877">
        <v>37</v>
      </c>
      <c r="J877">
        <v>0</v>
      </c>
      <c r="K877" t="str">
        <f t="shared" si="26"/>
        <v>Middle-Aged</v>
      </c>
      <c r="L877" t="str">
        <f t="shared" si="27"/>
        <v>Overweight</v>
      </c>
    </row>
    <row r="878" spans="1:12" x14ac:dyDescent="0.2">
      <c r="A878">
        <v>877</v>
      </c>
      <c r="B878">
        <v>3</v>
      </c>
      <c r="C878">
        <v>83</v>
      </c>
      <c r="D878">
        <v>58</v>
      </c>
      <c r="E878">
        <v>31</v>
      </c>
      <c r="F878">
        <v>18</v>
      </c>
      <c r="G878">
        <v>34.299999999999997</v>
      </c>
      <c r="H878">
        <v>0.33600000000000002</v>
      </c>
      <c r="I878">
        <v>25</v>
      </c>
      <c r="J878">
        <v>0</v>
      </c>
      <c r="K878" t="str">
        <f t="shared" si="26"/>
        <v>Young</v>
      </c>
      <c r="L878" t="str">
        <f t="shared" si="27"/>
        <v>Obese</v>
      </c>
    </row>
    <row r="879" spans="1:12" x14ac:dyDescent="0.2">
      <c r="A879">
        <v>878</v>
      </c>
      <c r="B879">
        <v>0</v>
      </c>
      <c r="C879">
        <v>95</v>
      </c>
      <c r="D879">
        <v>85</v>
      </c>
      <c r="E879">
        <v>25</v>
      </c>
      <c r="F879">
        <v>36</v>
      </c>
      <c r="G879">
        <v>37.4</v>
      </c>
      <c r="H879">
        <v>0.247</v>
      </c>
      <c r="I879">
        <v>24</v>
      </c>
      <c r="J879">
        <v>1</v>
      </c>
      <c r="K879" t="str">
        <f t="shared" si="26"/>
        <v>Young</v>
      </c>
      <c r="L879" t="str">
        <f t="shared" si="27"/>
        <v>Obese</v>
      </c>
    </row>
    <row r="880" spans="1:12" x14ac:dyDescent="0.2">
      <c r="A880">
        <v>879</v>
      </c>
      <c r="B880">
        <v>3</v>
      </c>
      <c r="C880">
        <v>171</v>
      </c>
      <c r="D880">
        <v>72</v>
      </c>
      <c r="E880">
        <v>33</v>
      </c>
      <c r="F880">
        <v>135</v>
      </c>
      <c r="G880">
        <v>33.299999999999997</v>
      </c>
      <c r="H880">
        <v>0.19900000000000001</v>
      </c>
      <c r="I880">
        <v>24</v>
      </c>
      <c r="J880">
        <v>1</v>
      </c>
      <c r="K880" t="str">
        <f t="shared" si="26"/>
        <v>Young</v>
      </c>
      <c r="L880" t="str">
        <f t="shared" si="27"/>
        <v>Obese</v>
      </c>
    </row>
    <row r="881" spans="1:12" x14ac:dyDescent="0.2">
      <c r="A881">
        <v>880</v>
      </c>
      <c r="B881">
        <v>8</v>
      </c>
      <c r="C881">
        <v>155</v>
      </c>
      <c r="D881">
        <v>62</v>
      </c>
      <c r="E881">
        <v>26</v>
      </c>
      <c r="F881">
        <v>495</v>
      </c>
      <c r="G881">
        <v>34</v>
      </c>
      <c r="H881">
        <v>0.54300000000000004</v>
      </c>
      <c r="I881">
        <v>46</v>
      </c>
      <c r="J881">
        <v>1</v>
      </c>
      <c r="K881" t="str">
        <f t="shared" si="26"/>
        <v>Senior</v>
      </c>
      <c r="L881" t="str">
        <f t="shared" si="27"/>
        <v>Obese</v>
      </c>
    </row>
    <row r="882" spans="1:12" x14ac:dyDescent="0.2">
      <c r="A882">
        <v>881</v>
      </c>
      <c r="B882">
        <v>1</v>
      </c>
      <c r="C882">
        <v>89</v>
      </c>
      <c r="D882">
        <v>76</v>
      </c>
      <c r="E882">
        <v>34</v>
      </c>
      <c r="F882">
        <v>37</v>
      </c>
      <c r="G882">
        <v>31.2</v>
      </c>
      <c r="H882">
        <v>0.192</v>
      </c>
      <c r="I882">
        <v>23</v>
      </c>
      <c r="J882">
        <v>0</v>
      </c>
      <c r="K882" t="str">
        <f t="shared" si="26"/>
        <v>Young</v>
      </c>
      <c r="L882" t="str">
        <f t="shared" si="27"/>
        <v>Obese</v>
      </c>
    </row>
    <row r="883" spans="1:12" x14ac:dyDescent="0.2">
      <c r="A883">
        <v>882</v>
      </c>
      <c r="B883">
        <v>4</v>
      </c>
      <c r="C883">
        <v>76</v>
      </c>
      <c r="D883">
        <v>62</v>
      </c>
      <c r="E883">
        <v>0</v>
      </c>
      <c r="F883">
        <v>0</v>
      </c>
      <c r="G883">
        <v>34</v>
      </c>
      <c r="H883">
        <v>0.39100000000000001</v>
      </c>
      <c r="I883">
        <v>25</v>
      </c>
      <c r="J883">
        <v>0</v>
      </c>
      <c r="K883" t="str">
        <f t="shared" si="26"/>
        <v>Young</v>
      </c>
      <c r="L883" t="str">
        <f t="shared" si="27"/>
        <v>Obese</v>
      </c>
    </row>
    <row r="884" spans="1:12" x14ac:dyDescent="0.2">
      <c r="A884">
        <v>883</v>
      </c>
      <c r="B884">
        <v>7</v>
      </c>
      <c r="C884">
        <v>160</v>
      </c>
      <c r="D884">
        <v>54</v>
      </c>
      <c r="E884">
        <v>32</v>
      </c>
      <c r="F884">
        <v>175</v>
      </c>
      <c r="G884">
        <v>30.5</v>
      </c>
      <c r="H884">
        <v>0.58799999999999997</v>
      </c>
      <c r="I884">
        <v>39</v>
      </c>
      <c r="J884">
        <v>1</v>
      </c>
      <c r="K884" t="str">
        <f t="shared" si="26"/>
        <v>Middle-Aged</v>
      </c>
      <c r="L884" t="str">
        <f t="shared" si="27"/>
        <v>Obese</v>
      </c>
    </row>
    <row r="885" spans="1:12" x14ac:dyDescent="0.2">
      <c r="A885">
        <v>884</v>
      </c>
      <c r="B885">
        <v>4</v>
      </c>
      <c r="C885">
        <v>146</v>
      </c>
      <c r="D885">
        <v>92</v>
      </c>
      <c r="E885">
        <v>0</v>
      </c>
      <c r="F885">
        <v>0</v>
      </c>
      <c r="G885">
        <v>31.2</v>
      </c>
      <c r="H885">
        <v>0.53900000000000003</v>
      </c>
      <c r="I885">
        <v>61</v>
      </c>
      <c r="J885">
        <v>1</v>
      </c>
      <c r="K885" t="str">
        <f t="shared" si="26"/>
        <v>Senior</v>
      </c>
      <c r="L885" t="str">
        <f t="shared" si="27"/>
        <v>Obese</v>
      </c>
    </row>
    <row r="886" spans="1:12" x14ac:dyDescent="0.2">
      <c r="A886">
        <v>885</v>
      </c>
      <c r="B886">
        <v>5</v>
      </c>
      <c r="C886">
        <v>124</v>
      </c>
      <c r="D886">
        <v>74</v>
      </c>
      <c r="E886">
        <v>0</v>
      </c>
      <c r="F886">
        <v>0</v>
      </c>
      <c r="G886">
        <v>34</v>
      </c>
      <c r="H886">
        <v>0.22</v>
      </c>
      <c r="I886">
        <v>38</v>
      </c>
      <c r="J886">
        <v>1</v>
      </c>
      <c r="K886" t="str">
        <f t="shared" si="26"/>
        <v>Middle-Aged</v>
      </c>
      <c r="L886" t="str">
        <f t="shared" si="27"/>
        <v>Obese</v>
      </c>
    </row>
    <row r="887" spans="1:12" x14ac:dyDescent="0.2">
      <c r="A887">
        <v>886</v>
      </c>
      <c r="B887">
        <v>5</v>
      </c>
      <c r="C887">
        <v>78</v>
      </c>
      <c r="D887">
        <v>48</v>
      </c>
      <c r="E887">
        <v>0</v>
      </c>
      <c r="F887">
        <v>0</v>
      </c>
      <c r="G887">
        <v>33.700000000000003</v>
      </c>
      <c r="H887">
        <v>0.65400000000000003</v>
      </c>
      <c r="I887">
        <v>25</v>
      </c>
      <c r="J887">
        <v>0</v>
      </c>
      <c r="K887" t="str">
        <f t="shared" si="26"/>
        <v>Young</v>
      </c>
      <c r="L887" t="str">
        <f t="shared" si="27"/>
        <v>Obese</v>
      </c>
    </row>
    <row r="888" spans="1:12" x14ac:dyDescent="0.2">
      <c r="A888">
        <v>887</v>
      </c>
      <c r="B888">
        <v>4</v>
      </c>
      <c r="C888">
        <v>97</v>
      </c>
      <c r="D888">
        <v>60</v>
      </c>
      <c r="E888">
        <v>23</v>
      </c>
      <c r="F888">
        <v>0</v>
      </c>
      <c r="G888">
        <v>28.2</v>
      </c>
      <c r="H888">
        <v>0.443</v>
      </c>
      <c r="I888">
        <v>22</v>
      </c>
      <c r="J888">
        <v>0</v>
      </c>
      <c r="K888" t="str">
        <f t="shared" si="26"/>
        <v>Young</v>
      </c>
      <c r="L888" t="str">
        <f t="shared" si="27"/>
        <v>Overweight</v>
      </c>
    </row>
    <row r="889" spans="1:12" x14ac:dyDescent="0.2">
      <c r="A889">
        <v>888</v>
      </c>
      <c r="B889">
        <v>4</v>
      </c>
      <c r="C889">
        <v>99</v>
      </c>
      <c r="D889">
        <v>76</v>
      </c>
      <c r="E889">
        <v>15</v>
      </c>
      <c r="F889">
        <v>51</v>
      </c>
      <c r="G889">
        <v>23.2</v>
      </c>
      <c r="H889">
        <v>0.223</v>
      </c>
      <c r="I889">
        <v>21</v>
      </c>
      <c r="J889">
        <v>0</v>
      </c>
      <c r="K889" t="str">
        <f t="shared" si="26"/>
        <v>Young</v>
      </c>
      <c r="L889" t="str">
        <f t="shared" si="27"/>
        <v>Normal</v>
      </c>
    </row>
    <row r="890" spans="1:12" x14ac:dyDescent="0.2">
      <c r="A890">
        <v>889</v>
      </c>
      <c r="B890">
        <v>0</v>
      </c>
      <c r="C890">
        <v>162</v>
      </c>
      <c r="D890">
        <v>76</v>
      </c>
      <c r="E890">
        <v>56</v>
      </c>
      <c r="F890">
        <v>100</v>
      </c>
      <c r="G890">
        <v>53.2</v>
      </c>
      <c r="H890">
        <v>0.75900000000000001</v>
      </c>
      <c r="I890">
        <v>25</v>
      </c>
      <c r="J890">
        <v>1</v>
      </c>
      <c r="K890" t="str">
        <f t="shared" si="26"/>
        <v>Young</v>
      </c>
      <c r="L890" t="str">
        <f t="shared" si="27"/>
        <v>Obese</v>
      </c>
    </row>
    <row r="891" spans="1:12" x14ac:dyDescent="0.2">
      <c r="A891">
        <v>890</v>
      </c>
      <c r="B891">
        <v>6</v>
      </c>
      <c r="C891">
        <v>111</v>
      </c>
      <c r="D891">
        <v>64</v>
      </c>
      <c r="E891">
        <v>39</v>
      </c>
      <c r="F891">
        <v>0</v>
      </c>
      <c r="G891">
        <v>34.200000000000003</v>
      </c>
      <c r="H891">
        <v>0.26</v>
      </c>
      <c r="I891">
        <v>24</v>
      </c>
      <c r="J891">
        <v>0</v>
      </c>
      <c r="K891" t="str">
        <f t="shared" si="26"/>
        <v>Young</v>
      </c>
      <c r="L891" t="str">
        <f t="shared" si="27"/>
        <v>Obese</v>
      </c>
    </row>
    <row r="892" spans="1:12" x14ac:dyDescent="0.2">
      <c r="A892">
        <v>891</v>
      </c>
      <c r="B892">
        <v>2</v>
      </c>
      <c r="C892">
        <v>107</v>
      </c>
      <c r="D892">
        <v>74</v>
      </c>
      <c r="E892">
        <v>30</v>
      </c>
      <c r="F892">
        <v>100</v>
      </c>
      <c r="G892">
        <v>33.6</v>
      </c>
      <c r="H892">
        <v>0.40400000000000003</v>
      </c>
      <c r="I892">
        <v>23</v>
      </c>
      <c r="J892">
        <v>0</v>
      </c>
      <c r="K892" t="str">
        <f t="shared" si="26"/>
        <v>Young</v>
      </c>
      <c r="L892" t="str">
        <f t="shared" si="27"/>
        <v>Obese</v>
      </c>
    </row>
    <row r="893" spans="1:12" x14ac:dyDescent="0.2">
      <c r="A893">
        <v>892</v>
      </c>
      <c r="B893">
        <v>5</v>
      </c>
      <c r="C893">
        <v>132</v>
      </c>
      <c r="D893">
        <v>80</v>
      </c>
      <c r="E893">
        <v>0</v>
      </c>
      <c r="F893">
        <v>0</v>
      </c>
      <c r="G893">
        <v>26.8</v>
      </c>
      <c r="H893">
        <v>0.186</v>
      </c>
      <c r="I893">
        <v>69</v>
      </c>
      <c r="J893">
        <v>0</v>
      </c>
      <c r="K893" t="str">
        <f t="shared" si="26"/>
        <v>Senior</v>
      </c>
      <c r="L893" t="str">
        <f t="shared" si="27"/>
        <v>Overweight</v>
      </c>
    </row>
    <row r="894" spans="1:12" x14ac:dyDescent="0.2">
      <c r="A894">
        <v>893</v>
      </c>
      <c r="B894">
        <v>0</v>
      </c>
      <c r="C894">
        <v>113</v>
      </c>
      <c r="D894">
        <v>76</v>
      </c>
      <c r="E894">
        <v>0</v>
      </c>
      <c r="F894">
        <v>0</v>
      </c>
      <c r="G894">
        <v>33.299999999999997</v>
      </c>
      <c r="H894">
        <v>0.27800000000000002</v>
      </c>
      <c r="I894">
        <v>23</v>
      </c>
      <c r="J894">
        <v>1</v>
      </c>
      <c r="K894" t="str">
        <f t="shared" si="26"/>
        <v>Young</v>
      </c>
      <c r="L894" t="str">
        <f t="shared" si="27"/>
        <v>Obese</v>
      </c>
    </row>
    <row r="895" spans="1:12" x14ac:dyDescent="0.2">
      <c r="A895">
        <v>894</v>
      </c>
      <c r="B895">
        <v>1</v>
      </c>
      <c r="C895">
        <v>88</v>
      </c>
      <c r="D895">
        <v>30</v>
      </c>
      <c r="E895">
        <v>42</v>
      </c>
      <c r="F895">
        <v>99</v>
      </c>
      <c r="G895">
        <v>55</v>
      </c>
      <c r="H895">
        <v>0.496</v>
      </c>
      <c r="I895">
        <v>26</v>
      </c>
      <c r="J895">
        <v>1</v>
      </c>
      <c r="K895" t="str">
        <f t="shared" si="26"/>
        <v>Young</v>
      </c>
      <c r="L895" t="str">
        <f t="shared" si="27"/>
        <v>Obese</v>
      </c>
    </row>
    <row r="896" spans="1:12" x14ac:dyDescent="0.2">
      <c r="A896">
        <v>895</v>
      </c>
      <c r="B896">
        <v>3</v>
      </c>
      <c r="C896">
        <v>120</v>
      </c>
      <c r="D896">
        <v>70</v>
      </c>
      <c r="E896">
        <v>30</v>
      </c>
      <c r="F896">
        <v>135</v>
      </c>
      <c r="G896">
        <v>42.9</v>
      </c>
      <c r="H896">
        <v>0.45200000000000001</v>
      </c>
      <c r="I896">
        <v>30</v>
      </c>
      <c r="J896">
        <v>0</v>
      </c>
      <c r="K896" t="str">
        <f t="shared" si="26"/>
        <v>Middle-Aged</v>
      </c>
      <c r="L896" t="str">
        <f t="shared" si="27"/>
        <v>Obese</v>
      </c>
    </row>
    <row r="897" spans="1:12" x14ac:dyDescent="0.2">
      <c r="A897">
        <v>896</v>
      </c>
      <c r="B897">
        <v>1</v>
      </c>
      <c r="C897">
        <v>118</v>
      </c>
      <c r="D897">
        <v>58</v>
      </c>
      <c r="E897">
        <v>36</v>
      </c>
      <c r="F897">
        <v>94</v>
      </c>
      <c r="G897">
        <v>33.299999999999997</v>
      </c>
      <c r="H897">
        <v>0.26100000000000001</v>
      </c>
      <c r="I897">
        <v>23</v>
      </c>
      <c r="J897">
        <v>0</v>
      </c>
      <c r="K897" t="str">
        <f t="shared" si="26"/>
        <v>Young</v>
      </c>
      <c r="L897" t="str">
        <f t="shared" si="27"/>
        <v>Obese</v>
      </c>
    </row>
    <row r="898" spans="1:12" x14ac:dyDescent="0.2">
      <c r="A898">
        <v>897</v>
      </c>
      <c r="B898">
        <v>1</v>
      </c>
      <c r="C898">
        <v>117</v>
      </c>
      <c r="D898">
        <v>88</v>
      </c>
      <c r="E898">
        <v>24</v>
      </c>
      <c r="F898">
        <v>145</v>
      </c>
      <c r="G898">
        <v>34.5</v>
      </c>
      <c r="H898">
        <v>0.40300000000000002</v>
      </c>
      <c r="I898">
        <v>40</v>
      </c>
      <c r="J898">
        <v>1</v>
      </c>
      <c r="K898" t="str">
        <f t="shared" si="26"/>
        <v>Middle-Aged</v>
      </c>
      <c r="L898" t="str">
        <f t="shared" si="27"/>
        <v>Obese</v>
      </c>
    </row>
    <row r="899" spans="1:12" x14ac:dyDescent="0.2">
      <c r="A899">
        <v>898</v>
      </c>
      <c r="B899">
        <v>0</v>
      </c>
      <c r="C899">
        <v>105</v>
      </c>
      <c r="D899">
        <v>84</v>
      </c>
      <c r="E899">
        <v>0</v>
      </c>
      <c r="F899">
        <v>0</v>
      </c>
      <c r="G899">
        <v>27.9</v>
      </c>
      <c r="H899">
        <v>0.74099999999999999</v>
      </c>
      <c r="I899">
        <v>62</v>
      </c>
      <c r="J899">
        <v>1</v>
      </c>
      <c r="K899" t="str">
        <f t="shared" ref="K899:K962" si="28">IF(I899&lt;30, "Young", IF( I899&lt;45, "Middle-Aged", "Senior"))</f>
        <v>Senior</v>
      </c>
      <c r="L899" t="str">
        <f t="shared" ref="L899:L962" si="29">IF(G899&lt;18.5, "Underweight", IF(G899&lt;25, "Normal", IF(G899&lt;30, "Overweight", "Obese")))</f>
        <v>Overweight</v>
      </c>
    </row>
    <row r="900" spans="1:12" x14ac:dyDescent="0.2">
      <c r="A900">
        <v>899</v>
      </c>
      <c r="B900">
        <v>4</v>
      </c>
      <c r="C900">
        <v>173</v>
      </c>
      <c r="D900">
        <v>70</v>
      </c>
      <c r="E900">
        <v>14</v>
      </c>
      <c r="F900">
        <v>168</v>
      </c>
      <c r="G900">
        <v>29.7</v>
      </c>
      <c r="H900">
        <v>0.36099999999999999</v>
      </c>
      <c r="I900">
        <v>33</v>
      </c>
      <c r="J900">
        <v>1</v>
      </c>
      <c r="K900" t="str">
        <f t="shared" si="28"/>
        <v>Middle-Aged</v>
      </c>
      <c r="L900" t="str">
        <f t="shared" si="29"/>
        <v>Overweight</v>
      </c>
    </row>
    <row r="901" spans="1:12" x14ac:dyDescent="0.2">
      <c r="A901">
        <v>900</v>
      </c>
      <c r="B901">
        <v>9</v>
      </c>
      <c r="C901">
        <v>122</v>
      </c>
      <c r="D901">
        <v>56</v>
      </c>
      <c r="E901">
        <v>0</v>
      </c>
      <c r="F901">
        <v>0</v>
      </c>
      <c r="G901">
        <v>33.299999999999997</v>
      </c>
      <c r="H901">
        <v>1.1140000000000001</v>
      </c>
      <c r="I901">
        <v>33</v>
      </c>
      <c r="J901">
        <v>1</v>
      </c>
      <c r="K901" t="str">
        <f t="shared" si="28"/>
        <v>Middle-Aged</v>
      </c>
      <c r="L901" t="str">
        <f t="shared" si="29"/>
        <v>Obese</v>
      </c>
    </row>
    <row r="902" spans="1:12" x14ac:dyDescent="0.2">
      <c r="A902">
        <v>901</v>
      </c>
      <c r="B902">
        <v>3</v>
      </c>
      <c r="C902">
        <v>170</v>
      </c>
      <c r="D902">
        <v>64</v>
      </c>
      <c r="E902">
        <v>37</v>
      </c>
      <c r="F902">
        <v>225</v>
      </c>
      <c r="G902">
        <v>34.5</v>
      </c>
      <c r="H902">
        <v>0.35599999999999998</v>
      </c>
      <c r="I902">
        <v>30</v>
      </c>
      <c r="J902">
        <v>1</v>
      </c>
      <c r="K902" t="str">
        <f t="shared" si="28"/>
        <v>Middle-Aged</v>
      </c>
      <c r="L902" t="str">
        <f t="shared" si="29"/>
        <v>Obese</v>
      </c>
    </row>
    <row r="903" spans="1:12" x14ac:dyDescent="0.2">
      <c r="A903">
        <v>902</v>
      </c>
      <c r="B903">
        <v>8</v>
      </c>
      <c r="C903">
        <v>84</v>
      </c>
      <c r="D903">
        <v>74</v>
      </c>
      <c r="E903">
        <v>31</v>
      </c>
      <c r="F903">
        <v>0</v>
      </c>
      <c r="G903">
        <v>38.299999999999997</v>
      </c>
      <c r="H903">
        <v>0.45700000000000002</v>
      </c>
      <c r="I903">
        <v>39</v>
      </c>
      <c r="J903">
        <v>0</v>
      </c>
      <c r="K903" t="str">
        <f t="shared" si="28"/>
        <v>Middle-Aged</v>
      </c>
      <c r="L903" t="str">
        <f t="shared" si="29"/>
        <v>Obese</v>
      </c>
    </row>
    <row r="904" spans="1:12" x14ac:dyDescent="0.2">
      <c r="A904">
        <v>903</v>
      </c>
      <c r="B904">
        <v>2</v>
      </c>
      <c r="C904">
        <v>96</v>
      </c>
      <c r="D904">
        <v>68</v>
      </c>
      <c r="E904">
        <v>13</v>
      </c>
      <c r="F904">
        <v>49</v>
      </c>
      <c r="G904">
        <v>21.1</v>
      </c>
      <c r="H904">
        <v>0.64700000000000002</v>
      </c>
      <c r="I904">
        <v>26</v>
      </c>
      <c r="J904">
        <v>0</v>
      </c>
      <c r="K904" t="str">
        <f t="shared" si="28"/>
        <v>Young</v>
      </c>
      <c r="L904" t="str">
        <f t="shared" si="29"/>
        <v>Normal</v>
      </c>
    </row>
    <row r="905" spans="1:12" x14ac:dyDescent="0.2">
      <c r="A905">
        <v>904</v>
      </c>
      <c r="B905">
        <v>2</v>
      </c>
      <c r="C905">
        <v>125</v>
      </c>
      <c r="D905">
        <v>60</v>
      </c>
      <c r="E905">
        <v>20</v>
      </c>
      <c r="F905">
        <v>140</v>
      </c>
      <c r="G905">
        <v>33.799999999999997</v>
      </c>
      <c r="H905">
        <v>8.7999999999999995E-2</v>
      </c>
      <c r="I905">
        <v>31</v>
      </c>
      <c r="J905">
        <v>0</v>
      </c>
      <c r="K905" t="str">
        <f t="shared" si="28"/>
        <v>Middle-Aged</v>
      </c>
      <c r="L905" t="str">
        <f t="shared" si="29"/>
        <v>Obese</v>
      </c>
    </row>
    <row r="906" spans="1:12" x14ac:dyDescent="0.2">
      <c r="A906">
        <v>905</v>
      </c>
      <c r="B906">
        <v>0</v>
      </c>
      <c r="C906">
        <v>100</v>
      </c>
      <c r="D906">
        <v>70</v>
      </c>
      <c r="E906">
        <v>26</v>
      </c>
      <c r="F906">
        <v>50</v>
      </c>
      <c r="G906">
        <v>30.8</v>
      </c>
      <c r="H906">
        <v>0.59699999999999998</v>
      </c>
      <c r="I906">
        <v>21</v>
      </c>
      <c r="J906">
        <v>0</v>
      </c>
      <c r="K906" t="str">
        <f t="shared" si="28"/>
        <v>Young</v>
      </c>
      <c r="L906" t="str">
        <f t="shared" si="29"/>
        <v>Obese</v>
      </c>
    </row>
    <row r="907" spans="1:12" x14ac:dyDescent="0.2">
      <c r="A907">
        <v>906</v>
      </c>
      <c r="B907">
        <v>0</v>
      </c>
      <c r="C907">
        <v>93</v>
      </c>
      <c r="D907">
        <v>60</v>
      </c>
      <c r="E907">
        <v>25</v>
      </c>
      <c r="F907">
        <v>92</v>
      </c>
      <c r="G907">
        <v>28.7</v>
      </c>
      <c r="H907">
        <v>0.53200000000000003</v>
      </c>
      <c r="I907">
        <v>22</v>
      </c>
      <c r="J907">
        <v>0</v>
      </c>
      <c r="K907" t="str">
        <f t="shared" si="28"/>
        <v>Young</v>
      </c>
      <c r="L907" t="str">
        <f t="shared" si="29"/>
        <v>Overweight</v>
      </c>
    </row>
    <row r="908" spans="1:12" x14ac:dyDescent="0.2">
      <c r="A908">
        <v>907</v>
      </c>
      <c r="B908">
        <v>0</v>
      </c>
      <c r="C908">
        <v>129</v>
      </c>
      <c r="D908">
        <v>80</v>
      </c>
      <c r="E908">
        <v>0</v>
      </c>
      <c r="F908">
        <v>0</v>
      </c>
      <c r="G908">
        <v>31.2</v>
      </c>
      <c r="H908">
        <v>0.70299999999999996</v>
      </c>
      <c r="I908">
        <v>29</v>
      </c>
      <c r="J908">
        <v>0</v>
      </c>
      <c r="K908" t="str">
        <f t="shared" si="28"/>
        <v>Young</v>
      </c>
      <c r="L908" t="str">
        <f t="shared" si="29"/>
        <v>Obese</v>
      </c>
    </row>
    <row r="909" spans="1:12" x14ac:dyDescent="0.2">
      <c r="A909">
        <v>908</v>
      </c>
      <c r="B909">
        <v>5</v>
      </c>
      <c r="C909">
        <v>105</v>
      </c>
      <c r="D909">
        <v>72</v>
      </c>
      <c r="E909">
        <v>29</v>
      </c>
      <c r="F909">
        <v>325</v>
      </c>
      <c r="G909">
        <v>36.9</v>
      </c>
      <c r="H909">
        <v>0.159</v>
      </c>
      <c r="I909">
        <v>28</v>
      </c>
      <c r="J909">
        <v>0</v>
      </c>
      <c r="K909" t="str">
        <f t="shared" si="28"/>
        <v>Young</v>
      </c>
      <c r="L909" t="str">
        <f t="shared" si="29"/>
        <v>Obese</v>
      </c>
    </row>
    <row r="910" spans="1:12" x14ac:dyDescent="0.2">
      <c r="A910">
        <v>909</v>
      </c>
      <c r="B910">
        <v>3</v>
      </c>
      <c r="C910">
        <v>128</v>
      </c>
      <c r="D910">
        <v>78</v>
      </c>
      <c r="E910">
        <v>0</v>
      </c>
      <c r="F910">
        <v>0</v>
      </c>
      <c r="G910">
        <v>21.1</v>
      </c>
      <c r="H910">
        <v>0.26800000000000002</v>
      </c>
      <c r="I910">
        <v>55</v>
      </c>
      <c r="J910">
        <v>0</v>
      </c>
      <c r="K910" t="str">
        <f t="shared" si="28"/>
        <v>Senior</v>
      </c>
      <c r="L910" t="str">
        <f t="shared" si="29"/>
        <v>Normal</v>
      </c>
    </row>
    <row r="911" spans="1:12" x14ac:dyDescent="0.2">
      <c r="A911">
        <v>910</v>
      </c>
      <c r="B911">
        <v>5</v>
      </c>
      <c r="C911">
        <v>106</v>
      </c>
      <c r="D911">
        <v>82</v>
      </c>
      <c r="E911">
        <v>30</v>
      </c>
      <c r="F911">
        <v>0</v>
      </c>
      <c r="G911">
        <v>39.5</v>
      </c>
      <c r="H911">
        <v>0.28599999999999998</v>
      </c>
      <c r="I911">
        <v>38</v>
      </c>
      <c r="J911">
        <v>0</v>
      </c>
      <c r="K911" t="str">
        <f t="shared" si="28"/>
        <v>Middle-Aged</v>
      </c>
      <c r="L911" t="str">
        <f t="shared" si="29"/>
        <v>Obese</v>
      </c>
    </row>
    <row r="912" spans="1:12" x14ac:dyDescent="0.2">
      <c r="A912">
        <v>911</v>
      </c>
      <c r="B912">
        <v>2</v>
      </c>
      <c r="C912">
        <v>108</v>
      </c>
      <c r="D912">
        <v>52</v>
      </c>
      <c r="E912">
        <v>26</v>
      </c>
      <c r="F912">
        <v>63</v>
      </c>
      <c r="G912">
        <v>32.5</v>
      </c>
      <c r="H912">
        <v>0.318</v>
      </c>
      <c r="I912">
        <v>22</v>
      </c>
      <c r="J912">
        <v>0</v>
      </c>
      <c r="K912" t="str">
        <f t="shared" si="28"/>
        <v>Young</v>
      </c>
      <c r="L912" t="str">
        <f t="shared" si="29"/>
        <v>Obese</v>
      </c>
    </row>
    <row r="913" spans="1:12" x14ac:dyDescent="0.2">
      <c r="A913">
        <v>912</v>
      </c>
      <c r="B913">
        <v>10</v>
      </c>
      <c r="C913">
        <v>108</v>
      </c>
      <c r="D913">
        <v>66</v>
      </c>
      <c r="E913">
        <v>0</v>
      </c>
      <c r="F913">
        <v>0</v>
      </c>
      <c r="G913">
        <v>32.4</v>
      </c>
      <c r="H913">
        <v>0.27200000000000002</v>
      </c>
      <c r="I913">
        <v>42</v>
      </c>
      <c r="J913">
        <v>1</v>
      </c>
      <c r="K913" t="str">
        <f t="shared" si="28"/>
        <v>Middle-Aged</v>
      </c>
      <c r="L913" t="str">
        <f t="shared" si="29"/>
        <v>Obese</v>
      </c>
    </row>
    <row r="914" spans="1:12" x14ac:dyDescent="0.2">
      <c r="A914">
        <v>913</v>
      </c>
      <c r="B914">
        <v>4</v>
      </c>
      <c r="C914">
        <v>154</v>
      </c>
      <c r="D914">
        <v>62</v>
      </c>
      <c r="E914">
        <v>31</v>
      </c>
      <c r="F914">
        <v>284</v>
      </c>
      <c r="G914">
        <v>32.799999999999997</v>
      </c>
      <c r="H914">
        <v>0.23699999999999999</v>
      </c>
      <c r="I914">
        <v>23</v>
      </c>
      <c r="J914">
        <v>0</v>
      </c>
      <c r="K914" t="str">
        <f t="shared" si="28"/>
        <v>Young</v>
      </c>
      <c r="L914" t="str">
        <f t="shared" si="29"/>
        <v>Obese</v>
      </c>
    </row>
    <row r="915" spans="1:12" x14ac:dyDescent="0.2">
      <c r="A915">
        <v>914</v>
      </c>
      <c r="B915">
        <v>0</v>
      </c>
      <c r="C915">
        <v>102</v>
      </c>
      <c r="D915">
        <v>75</v>
      </c>
      <c r="E915">
        <v>23</v>
      </c>
      <c r="F915">
        <v>0</v>
      </c>
      <c r="G915">
        <v>121</v>
      </c>
      <c r="H915">
        <v>0.57199999999999995</v>
      </c>
      <c r="I915">
        <v>21</v>
      </c>
      <c r="J915">
        <v>0</v>
      </c>
      <c r="K915" t="str">
        <f t="shared" si="28"/>
        <v>Young</v>
      </c>
      <c r="L915" t="str">
        <f t="shared" si="29"/>
        <v>Obese</v>
      </c>
    </row>
    <row r="916" spans="1:12" x14ac:dyDescent="0.2">
      <c r="A916">
        <v>915</v>
      </c>
      <c r="B916">
        <v>9</v>
      </c>
      <c r="C916">
        <v>57</v>
      </c>
      <c r="D916">
        <v>80</v>
      </c>
      <c r="E916">
        <v>37</v>
      </c>
      <c r="F916">
        <v>0</v>
      </c>
      <c r="G916">
        <v>32.799999999999997</v>
      </c>
      <c r="H916">
        <v>9.6000000000000002E-2</v>
      </c>
      <c r="I916">
        <v>41</v>
      </c>
      <c r="J916">
        <v>0</v>
      </c>
      <c r="K916" t="str">
        <f t="shared" si="28"/>
        <v>Middle-Aged</v>
      </c>
      <c r="L916" t="str">
        <f t="shared" si="29"/>
        <v>Obese</v>
      </c>
    </row>
    <row r="917" spans="1:12" x14ac:dyDescent="0.2">
      <c r="A917">
        <v>916</v>
      </c>
      <c r="B917">
        <v>2</v>
      </c>
      <c r="C917">
        <v>106</v>
      </c>
      <c r="D917">
        <v>64</v>
      </c>
      <c r="E917">
        <v>35</v>
      </c>
      <c r="F917">
        <v>119</v>
      </c>
      <c r="G917">
        <v>30.5</v>
      </c>
      <c r="H917">
        <v>1.4</v>
      </c>
      <c r="I917">
        <v>34</v>
      </c>
      <c r="J917">
        <v>0</v>
      </c>
      <c r="K917" t="str">
        <f t="shared" si="28"/>
        <v>Middle-Aged</v>
      </c>
      <c r="L917" t="str">
        <f t="shared" si="29"/>
        <v>Obese</v>
      </c>
    </row>
    <row r="918" spans="1:12" x14ac:dyDescent="0.2">
      <c r="A918">
        <v>917</v>
      </c>
      <c r="B918">
        <v>5</v>
      </c>
      <c r="C918">
        <v>147</v>
      </c>
      <c r="D918">
        <v>78</v>
      </c>
      <c r="E918">
        <v>0</v>
      </c>
      <c r="F918">
        <v>0</v>
      </c>
      <c r="G918">
        <v>33.700000000000003</v>
      </c>
      <c r="H918">
        <v>0.218</v>
      </c>
      <c r="I918">
        <v>65</v>
      </c>
      <c r="J918">
        <v>0</v>
      </c>
      <c r="K918" t="str">
        <f t="shared" si="28"/>
        <v>Senior</v>
      </c>
      <c r="L918" t="str">
        <f t="shared" si="29"/>
        <v>Obese</v>
      </c>
    </row>
    <row r="919" spans="1:12" x14ac:dyDescent="0.2">
      <c r="A919">
        <v>918</v>
      </c>
      <c r="B919">
        <v>2</v>
      </c>
      <c r="C919">
        <v>90</v>
      </c>
      <c r="D919">
        <v>70</v>
      </c>
      <c r="E919">
        <v>17</v>
      </c>
      <c r="F919">
        <v>0</v>
      </c>
      <c r="G919">
        <v>27.3</v>
      </c>
      <c r="H919">
        <v>8.5000000000000006E-2</v>
      </c>
      <c r="I919">
        <v>22</v>
      </c>
      <c r="J919">
        <v>0</v>
      </c>
      <c r="K919" t="str">
        <f t="shared" si="28"/>
        <v>Young</v>
      </c>
      <c r="L919" t="str">
        <f t="shared" si="29"/>
        <v>Overweight</v>
      </c>
    </row>
    <row r="920" spans="1:12" x14ac:dyDescent="0.2">
      <c r="A920">
        <v>919</v>
      </c>
      <c r="B920">
        <v>1</v>
      </c>
      <c r="C920">
        <v>136</v>
      </c>
      <c r="D920">
        <v>74</v>
      </c>
      <c r="E920">
        <v>50</v>
      </c>
      <c r="F920">
        <v>204</v>
      </c>
      <c r="G920">
        <v>37.4</v>
      </c>
      <c r="H920">
        <v>0.39900000000000002</v>
      </c>
      <c r="I920">
        <v>24</v>
      </c>
      <c r="J920">
        <v>0</v>
      </c>
      <c r="K920" t="str">
        <f t="shared" si="28"/>
        <v>Young</v>
      </c>
      <c r="L920" t="str">
        <f t="shared" si="29"/>
        <v>Obese</v>
      </c>
    </row>
    <row r="921" spans="1:12" x14ac:dyDescent="0.2">
      <c r="A921">
        <v>920</v>
      </c>
      <c r="B921">
        <v>4</v>
      </c>
      <c r="C921">
        <v>114</v>
      </c>
      <c r="D921">
        <v>65</v>
      </c>
      <c r="E921">
        <v>0</v>
      </c>
      <c r="F921">
        <v>0</v>
      </c>
      <c r="G921">
        <v>21.9</v>
      </c>
      <c r="H921">
        <v>0.432</v>
      </c>
      <c r="I921">
        <v>37</v>
      </c>
      <c r="J921">
        <v>0</v>
      </c>
      <c r="K921" t="str">
        <f t="shared" si="28"/>
        <v>Middle-Aged</v>
      </c>
      <c r="L921" t="str">
        <f t="shared" si="29"/>
        <v>Normal</v>
      </c>
    </row>
    <row r="922" spans="1:12" x14ac:dyDescent="0.2">
      <c r="A922">
        <v>921</v>
      </c>
      <c r="B922">
        <v>9</v>
      </c>
      <c r="C922">
        <v>156</v>
      </c>
      <c r="D922">
        <v>86</v>
      </c>
      <c r="E922">
        <v>28</v>
      </c>
      <c r="F922">
        <v>155</v>
      </c>
      <c r="G922">
        <v>34.299999999999997</v>
      </c>
      <c r="H922">
        <v>1.1890000000000001</v>
      </c>
      <c r="I922">
        <v>42</v>
      </c>
      <c r="J922">
        <v>1</v>
      </c>
      <c r="K922" t="str">
        <f t="shared" si="28"/>
        <v>Middle-Aged</v>
      </c>
      <c r="L922" t="str">
        <f t="shared" si="29"/>
        <v>Obese</v>
      </c>
    </row>
    <row r="923" spans="1:12" x14ac:dyDescent="0.2">
      <c r="A923">
        <v>922</v>
      </c>
      <c r="B923">
        <v>1</v>
      </c>
      <c r="C923">
        <v>153</v>
      </c>
      <c r="D923">
        <v>82</v>
      </c>
      <c r="E923">
        <v>42</v>
      </c>
      <c r="F923">
        <v>485</v>
      </c>
      <c r="G923">
        <v>40.6</v>
      </c>
      <c r="H923">
        <v>0.68700000000000006</v>
      </c>
      <c r="I923">
        <v>23</v>
      </c>
      <c r="J923">
        <v>0</v>
      </c>
      <c r="K923" t="str">
        <f t="shared" si="28"/>
        <v>Young</v>
      </c>
      <c r="L923" t="str">
        <f t="shared" si="29"/>
        <v>Obese</v>
      </c>
    </row>
    <row r="924" spans="1:12" x14ac:dyDescent="0.2">
      <c r="A924">
        <v>923</v>
      </c>
      <c r="B924">
        <v>8</v>
      </c>
      <c r="C924">
        <v>188</v>
      </c>
      <c r="D924">
        <v>78</v>
      </c>
      <c r="E924">
        <v>0</v>
      </c>
      <c r="F924">
        <v>0</v>
      </c>
      <c r="G924">
        <v>47.9</v>
      </c>
      <c r="H924">
        <v>0.13700000000000001</v>
      </c>
      <c r="I924">
        <v>43</v>
      </c>
      <c r="J924">
        <v>1</v>
      </c>
      <c r="K924" t="str">
        <f t="shared" si="28"/>
        <v>Middle-Aged</v>
      </c>
      <c r="L924" t="str">
        <f t="shared" si="29"/>
        <v>Obese</v>
      </c>
    </row>
    <row r="925" spans="1:12" x14ac:dyDescent="0.2">
      <c r="A925">
        <v>924</v>
      </c>
      <c r="B925">
        <v>7</v>
      </c>
      <c r="C925">
        <v>152</v>
      </c>
      <c r="D925">
        <v>88</v>
      </c>
      <c r="E925">
        <v>44</v>
      </c>
      <c r="F925">
        <v>0</v>
      </c>
      <c r="G925">
        <v>50</v>
      </c>
      <c r="H925">
        <v>0.33700000000000002</v>
      </c>
      <c r="I925">
        <v>36</v>
      </c>
      <c r="J925">
        <v>1</v>
      </c>
      <c r="K925" t="str">
        <f t="shared" si="28"/>
        <v>Middle-Aged</v>
      </c>
      <c r="L925" t="str">
        <f t="shared" si="29"/>
        <v>Obese</v>
      </c>
    </row>
    <row r="926" spans="1:12" x14ac:dyDescent="0.2">
      <c r="A926">
        <v>925</v>
      </c>
      <c r="B926">
        <v>2</v>
      </c>
      <c r="C926">
        <v>99</v>
      </c>
      <c r="D926">
        <v>52</v>
      </c>
      <c r="E926">
        <v>15</v>
      </c>
      <c r="F926">
        <v>94</v>
      </c>
      <c r="G926">
        <v>24.6</v>
      </c>
      <c r="H926">
        <v>0.63700000000000001</v>
      </c>
      <c r="I926">
        <v>21</v>
      </c>
      <c r="J926">
        <v>0</v>
      </c>
      <c r="K926" t="str">
        <f t="shared" si="28"/>
        <v>Young</v>
      </c>
      <c r="L926" t="str">
        <f t="shared" si="29"/>
        <v>Normal</v>
      </c>
    </row>
    <row r="927" spans="1:12" x14ac:dyDescent="0.2">
      <c r="A927">
        <v>926</v>
      </c>
      <c r="B927">
        <v>1</v>
      </c>
      <c r="C927">
        <v>109</v>
      </c>
      <c r="D927">
        <v>56</v>
      </c>
      <c r="E927">
        <v>21</v>
      </c>
      <c r="F927">
        <v>135</v>
      </c>
      <c r="G927">
        <v>25.2</v>
      </c>
      <c r="H927">
        <v>0.83299999999999996</v>
      </c>
      <c r="I927">
        <v>23</v>
      </c>
      <c r="J927">
        <v>0</v>
      </c>
      <c r="K927" t="str">
        <f t="shared" si="28"/>
        <v>Young</v>
      </c>
      <c r="L927" t="str">
        <f t="shared" si="29"/>
        <v>Overweight</v>
      </c>
    </row>
    <row r="928" spans="1:12" x14ac:dyDescent="0.2">
      <c r="A928">
        <v>927</v>
      </c>
      <c r="B928">
        <v>2</v>
      </c>
      <c r="C928">
        <v>88</v>
      </c>
      <c r="D928">
        <v>74</v>
      </c>
      <c r="E928">
        <v>19</v>
      </c>
      <c r="F928">
        <v>53</v>
      </c>
      <c r="G928">
        <v>29</v>
      </c>
      <c r="H928">
        <v>0.22900000000000001</v>
      </c>
      <c r="I928">
        <v>22</v>
      </c>
      <c r="J928">
        <v>0</v>
      </c>
      <c r="K928" t="str">
        <f t="shared" si="28"/>
        <v>Young</v>
      </c>
      <c r="L928" t="str">
        <f t="shared" si="29"/>
        <v>Overweight</v>
      </c>
    </row>
    <row r="929" spans="1:12" x14ac:dyDescent="0.2">
      <c r="A929">
        <v>928</v>
      </c>
      <c r="B929">
        <v>17</v>
      </c>
      <c r="C929">
        <v>163</v>
      </c>
      <c r="D929">
        <v>72</v>
      </c>
      <c r="E929">
        <v>41</v>
      </c>
      <c r="F929">
        <v>114</v>
      </c>
      <c r="G929">
        <v>40.9</v>
      </c>
      <c r="H929">
        <v>0.81699999999999995</v>
      </c>
      <c r="I929">
        <v>47</v>
      </c>
      <c r="J929">
        <v>1</v>
      </c>
      <c r="K929" t="str">
        <f t="shared" si="28"/>
        <v>Senior</v>
      </c>
      <c r="L929" t="str">
        <f t="shared" si="29"/>
        <v>Obese</v>
      </c>
    </row>
    <row r="930" spans="1:12" x14ac:dyDescent="0.2">
      <c r="A930">
        <v>929</v>
      </c>
      <c r="B930">
        <v>4</v>
      </c>
      <c r="C930">
        <v>151</v>
      </c>
      <c r="D930">
        <v>90</v>
      </c>
      <c r="E930">
        <v>38</v>
      </c>
      <c r="F930">
        <v>0</v>
      </c>
      <c r="G930">
        <v>29.7</v>
      </c>
      <c r="H930">
        <v>0.29399999999999998</v>
      </c>
      <c r="I930">
        <v>36</v>
      </c>
      <c r="J930">
        <v>0</v>
      </c>
      <c r="K930" t="str">
        <f t="shared" si="28"/>
        <v>Middle-Aged</v>
      </c>
      <c r="L930" t="str">
        <f t="shared" si="29"/>
        <v>Overweight</v>
      </c>
    </row>
    <row r="931" spans="1:12" x14ac:dyDescent="0.2">
      <c r="A931">
        <v>930</v>
      </c>
      <c r="B931">
        <v>7</v>
      </c>
      <c r="C931">
        <v>102</v>
      </c>
      <c r="D931">
        <v>74</v>
      </c>
      <c r="E931">
        <v>40</v>
      </c>
      <c r="F931">
        <v>105</v>
      </c>
      <c r="G931">
        <v>37.200000000000003</v>
      </c>
      <c r="H931">
        <v>0.20399999999999999</v>
      </c>
      <c r="I931">
        <v>45</v>
      </c>
      <c r="J931">
        <v>0</v>
      </c>
      <c r="K931" t="str">
        <f t="shared" si="28"/>
        <v>Senior</v>
      </c>
      <c r="L931" t="str">
        <f t="shared" si="29"/>
        <v>Obese</v>
      </c>
    </row>
    <row r="932" spans="1:12" x14ac:dyDescent="0.2">
      <c r="A932">
        <v>931</v>
      </c>
      <c r="B932">
        <v>0</v>
      </c>
      <c r="C932">
        <v>114</v>
      </c>
      <c r="D932">
        <v>80</v>
      </c>
      <c r="E932">
        <v>34</v>
      </c>
      <c r="F932">
        <v>285</v>
      </c>
      <c r="G932">
        <v>44.2</v>
      </c>
      <c r="H932">
        <v>0.16700000000000001</v>
      </c>
      <c r="I932">
        <v>27</v>
      </c>
      <c r="J932">
        <v>0</v>
      </c>
      <c r="K932" t="str">
        <f t="shared" si="28"/>
        <v>Young</v>
      </c>
      <c r="L932" t="str">
        <f t="shared" si="29"/>
        <v>Obese</v>
      </c>
    </row>
    <row r="933" spans="1:12" x14ac:dyDescent="0.2">
      <c r="A933">
        <v>932</v>
      </c>
      <c r="B933">
        <v>2</v>
      </c>
      <c r="C933">
        <v>100</v>
      </c>
      <c r="D933">
        <v>64</v>
      </c>
      <c r="E933">
        <v>23</v>
      </c>
      <c r="F933">
        <v>0</v>
      </c>
      <c r="G933">
        <v>29.7</v>
      </c>
      <c r="H933">
        <v>0.36799999999999999</v>
      </c>
      <c r="I933">
        <v>21</v>
      </c>
      <c r="J933">
        <v>0</v>
      </c>
      <c r="K933" t="str">
        <f t="shared" si="28"/>
        <v>Young</v>
      </c>
      <c r="L933" t="str">
        <f t="shared" si="29"/>
        <v>Overweight</v>
      </c>
    </row>
    <row r="934" spans="1:12" x14ac:dyDescent="0.2">
      <c r="A934">
        <v>933</v>
      </c>
      <c r="B934">
        <v>0</v>
      </c>
      <c r="C934">
        <v>131</v>
      </c>
      <c r="D934">
        <v>88</v>
      </c>
      <c r="E934">
        <v>0</v>
      </c>
      <c r="F934">
        <v>0</v>
      </c>
      <c r="G934">
        <v>31.6</v>
      </c>
      <c r="H934">
        <v>0.74299999999999999</v>
      </c>
      <c r="I934">
        <v>32</v>
      </c>
      <c r="J934">
        <v>1</v>
      </c>
      <c r="K934" t="str">
        <f t="shared" si="28"/>
        <v>Middle-Aged</v>
      </c>
      <c r="L934" t="str">
        <f t="shared" si="29"/>
        <v>Obese</v>
      </c>
    </row>
    <row r="935" spans="1:12" x14ac:dyDescent="0.2">
      <c r="A935">
        <v>934</v>
      </c>
      <c r="B935">
        <v>6</v>
      </c>
      <c r="C935">
        <v>104</v>
      </c>
      <c r="D935">
        <v>74</v>
      </c>
      <c r="E935">
        <v>18</v>
      </c>
      <c r="F935">
        <v>156</v>
      </c>
      <c r="G935">
        <v>29.9</v>
      </c>
      <c r="H935">
        <v>0.72199999999999998</v>
      </c>
      <c r="I935">
        <v>41</v>
      </c>
      <c r="J935">
        <v>1</v>
      </c>
      <c r="K935" t="str">
        <f t="shared" si="28"/>
        <v>Middle-Aged</v>
      </c>
      <c r="L935" t="str">
        <f t="shared" si="29"/>
        <v>Overweight</v>
      </c>
    </row>
    <row r="936" spans="1:12" x14ac:dyDescent="0.2">
      <c r="A936">
        <v>935</v>
      </c>
      <c r="B936">
        <v>3</v>
      </c>
      <c r="C936">
        <v>148</v>
      </c>
      <c r="D936">
        <v>66</v>
      </c>
      <c r="E936">
        <v>25</v>
      </c>
      <c r="F936">
        <v>0</v>
      </c>
      <c r="G936">
        <v>32.5</v>
      </c>
      <c r="H936">
        <v>0.25600000000000001</v>
      </c>
      <c r="I936">
        <v>22</v>
      </c>
      <c r="J936">
        <v>0</v>
      </c>
      <c r="K936" t="str">
        <f t="shared" si="28"/>
        <v>Young</v>
      </c>
      <c r="L936" t="str">
        <f t="shared" si="29"/>
        <v>Obese</v>
      </c>
    </row>
    <row r="937" spans="1:12" x14ac:dyDescent="0.2">
      <c r="A937">
        <v>936</v>
      </c>
      <c r="B937">
        <v>4</v>
      </c>
      <c r="C937">
        <v>120</v>
      </c>
      <c r="D937">
        <v>68</v>
      </c>
      <c r="E937">
        <v>0</v>
      </c>
      <c r="F937">
        <v>0</v>
      </c>
      <c r="G937">
        <v>29.6</v>
      </c>
      <c r="H937">
        <v>0.70899999999999996</v>
      </c>
      <c r="I937">
        <v>34</v>
      </c>
      <c r="J937">
        <v>0</v>
      </c>
      <c r="K937" t="str">
        <f t="shared" si="28"/>
        <v>Middle-Aged</v>
      </c>
      <c r="L937" t="str">
        <f t="shared" si="29"/>
        <v>Overweight</v>
      </c>
    </row>
    <row r="938" spans="1:12" x14ac:dyDescent="0.2">
      <c r="A938">
        <v>937</v>
      </c>
      <c r="B938">
        <v>4</v>
      </c>
      <c r="C938">
        <v>110</v>
      </c>
      <c r="D938">
        <v>66</v>
      </c>
      <c r="E938">
        <v>0</v>
      </c>
      <c r="F938">
        <v>0</v>
      </c>
      <c r="G938">
        <v>31.9</v>
      </c>
      <c r="H938">
        <v>0.47099999999999997</v>
      </c>
      <c r="I938">
        <v>29</v>
      </c>
      <c r="J938">
        <v>0</v>
      </c>
      <c r="K938" t="str">
        <f t="shared" si="28"/>
        <v>Young</v>
      </c>
      <c r="L938" t="str">
        <f t="shared" si="29"/>
        <v>Obese</v>
      </c>
    </row>
    <row r="939" spans="1:12" x14ac:dyDescent="0.2">
      <c r="A939">
        <v>938</v>
      </c>
      <c r="B939">
        <v>3</v>
      </c>
      <c r="C939">
        <v>111</v>
      </c>
      <c r="D939">
        <v>90</v>
      </c>
      <c r="E939">
        <v>12</v>
      </c>
      <c r="F939">
        <v>78</v>
      </c>
      <c r="G939">
        <v>28.4</v>
      </c>
      <c r="H939">
        <v>0.495</v>
      </c>
      <c r="I939">
        <v>29</v>
      </c>
      <c r="J939">
        <v>0</v>
      </c>
      <c r="K939" t="str">
        <f t="shared" si="28"/>
        <v>Young</v>
      </c>
      <c r="L939" t="str">
        <f t="shared" si="29"/>
        <v>Overweight</v>
      </c>
    </row>
    <row r="940" spans="1:12" x14ac:dyDescent="0.2">
      <c r="A940">
        <v>939</v>
      </c>
      <c r="B940">
        <v>6</v>
      </c>
      <c r="C940">
        <v>102</v>
      </c>
      <c r="D940">
        <v>82</v>
      </c>
      <c r="E940">
        <v>0</v>
      </c>
      <c r="F940">
        <v>0</v>
      </c>
      <c r="G940">
        <v>30.8</v>
      </c>
      <c r="H940">
        <v>0.18</v>
      </c>
      <c r="I940">
        <v>36</v>
      </c>
      <c r="J940">
        <v>1</v>
      </c>
      <c r="K940" t="str">
        <f t="shared" si="28"/>
        <v>Middle-Aged</v>
      </c>
      <c r="L940" t="str">
        <f t="shared" si="29"/>
        <v>Obese</v>
      </c>
    </row>
    <row r="941" spans="1:12" x14ac:dyDescent="0.2">
      <c r="A941">
        <v>940</v>
      </c>
      <c r="B941">
        <v>6</v>
      </c>
      <c r="C941">
        <v>134</v>
      </c>
      <c r="D941">
        <v>70</v>
      </c>
      <c r="E941">
        <v>23</v>
      </c>
      <c r="F941">
        <v>130</v>
      </c>
      <c r="G941">
        <v>35.4</v>
      </c>
      <c r="H941">
        <v>0.54200000000000004</v>
      </c>
      <c r="I941">
        <v>29</v>
      </c>
      <c r="J941">
        <v>1</v>
      </c>
      <c r="K941" t="str">
        <f t="shared" si="28"/>
        <v>Young</v>
      </c>
      <c r="L941" t="str">
        <f t="shared" si="29"/>
        <v>Obese</v>
      </c>
    </row>
    <row r="942" spans="1:12" x14ac:dyDescent="0.2">
      <c r="A942">
        <v>941</v>
      </c>
      <c r="B942">
        <v>2</v>
      </c>
      <c r="C942">
        <v>87</v>
      </c>
      <c r="D942">
        <v>121</v>
      </c>
      <c r="E942">
        <v>23</v>
      </c>
      <c r="F942">
        <v>0</v>
      </c>
      <c r="G942">
        <v>28.9</v>
      </c>
      <c r="H942">
        <v>0.77300000000000002</v>
      </c>
      <c r="I942">
        <v>25</v>
      </c>
      <c r="J942">
        <v>0</v>
      </c>
      <c r="K942" t="str">
        <f t="shared" si="28"/>
        <v>Young</v>
      </c>
      <c r="L942" t="str">
        <f t="shared" si="29"/>
        <v>Overweight</v>
      </c>
    </row>
    <row r="943" spans="1:12" x14ac:dyDescent="0.2">
      <c r="A943">
        <v>942</v>
      </c>
      <c r="B943">
        <v>1</v>
      </c>
      <c r="C943">
        <v>79</v>
      </c>
      <c r="D943">
        <v>60</v>
      </c>
      <c r="E943">
        <v>42</v>
      </c>
      <c r="F943">
        <v>48</v>
      </c>
      <c r="G943">
        <v>43.5</v>
      </c>
      <c r="H943">
        <v>0.67800000000000005</v>
      </c>
      <c r="I943">
        <v>23</v>
      </c>
      <c r="J943">
        <v>0</v>
      </c>
      <c r="K943" t="str">
        <f t="shared" si="28"/>
        <v>Young</v>
      </c>
      <c r="L943" t="str">
        <f t="shared" si="29"/>
        <v>Obese</v>
      </c>
    </row>
    <row r="944" spans="1:12" x14ac:dyDescent="0.2">
      <c r="A944">
        <v>943</v>
      </c>
      <c r="B944">
        <v>2</v>
      </c>
      <c r="C944">
        <v>75</v>
      </c>
      <c r="D944">
        <v>64</v>
      </c>
      <c r="E944">
        <v>24</v>
      </c>
      <c r="F944">
        <v>55</v>
      </c>
      <c r="G944">
        <v>29.7</v>
      </c>
      <c r="H944">
        <v>0.37</v>
      </c>
      <c r="I944">
        <v>33</v>
      </c>
      <c r="J944">
        <v>0</v>
      </c>
      <c r="K944" t="str">
        <f t="shared" si="28"/>
        <v>Middle-Aged</v>
      </c>
      <c r="L944" t="str">
        <f t="shared" si="29"/>
        <v>Overweight</v>
      </c>
    </row>
    <row r="945" spans="1:12" x14ac:dyDescent="0.2">
      <c r="A945">
        <v>944</v>
      </c>
      <c r="B945">
        <v>8</v>
      </c>
      <c r="C945">
        <v>179</v>
      </c>
      <c r="D945">
        <v>72</v>
      </c>
      <c r="E945">
        <v>42</v>
      </c>
      <c r="F945">
        <v>130</v>
      </c>
      <c r="G945">
        <v>32.700000000000003</v>
      </c>
      <c r="H945">
        <v>0.71899999999999997</v>
      </c>
      <c r="I945">
        <v>36</v>
      </c>
      <c r="J945">
        <v>1</v>
      </c>
      <c r="K945" t="str">
        <f t="shared" si="28"/>
        <v>Middle-Aged</v>
      </c>
      <c r="L945" t="str">
        <f t="shared" si="29"/>
        <v>Obese</v>
      </c>
    </row>
    <row r="946" spans="1:12" x14ac:dyDescent="0.2">
      <c r="A946">
        <v>945</v>
      </c>
      <c r="B946">
        <v>6</v>
      </c>
      <c r="C946">
        <v>85</v>
      </c>
      <c r="D946">
        <v>78</v>
      </c>
      <c r="E946">
        <v>0</v>
      </c>
      <c r="F946">
        <v>0</v>
      </c>
      <c r="G946">
        <v>31.2</v>
      </c>
      <c r="H946">
        <v>0.38200000000000001</v>
      </c>
      <c r="I946">
        <v>42</v>
      </c>
      <c r="J946">
        <v>0</v>
      </c>
      <c r="K946" t="str">
        <f t="shared" si="28"/>
        <v>Middle-Aged</v>
      </c>
      <c r="L946" t="str">
        <f t="shared" si="29"/>
        <v>Obese</v>
      </c>
    </row>
    <row r="947" spans="1:12" x14ac:dyDescent="0.2">
      <c r="A947">
        <v>946</v>
      </c>
      <c r="B947">
        <v>0</v>
      </c>
      <c r="C947">
        <v>129</v>
      </c>
      <c r="D947">
        <v>110</v>
      </c>
      <c r="E947">
        <v>46</v>
      </c>
      <c r="F947">
        <v>130</v>
      </c>
      <c r="G947">
        <v>67.099999999999994</v>
      </c>
      <c r="H947">
        <v>0.31900000000000001</v>
      </c>
      <c r="I947">
        <v>26</v>
      </c>
      <c r="J947">
        <v>1</v>
      </c>
      <c r="K947" t="str">
        <f t="shared" si="28"/>
        <v>Young</v>
      </c>
      <c r="L947" t="str">
        <f t="shared" si="29"/>
        <v>Obese</v>
      </c>
    </row>
    <row r="948" spans="1:12" x14ac:dyDescent="0.2">
      <c r="A948">
        <v>947</v>
      </c>
      <c r="B948">
        <v>5</v>
      </c>
      <c r="C948">
        <v>143</v>
      </c>
      <c r="D948">
        <v>78</v>
      </c>
      <c r="E948">
        <v>0</v>
      </c>
      <c r="F948">
        <v>0</v>
      </c>
      <c r="G948">
        <v>45</v>
      </c>
      <c r="H948">
        <v>0.19</v>
      </c>
      <c r="I948">
        <v>47</v>
      </c>
      <c r="J948">
        <v>0</v>
      </c>
      <c r="K948" t="str">
        <f t="shared" si="28"/>
        <v>Senior</v>
      </c>
      <c r="L948" t="str">
        <f t="shared" si="29"/>
        <v>Obese</v>
      </c>
    </row>
    <row r="949" spans="1:12" x14ac:dyDescent="0.2">
      <c r="A949">
        <v>948</v>
      </c>
      <c r="B949">
        <v>5</v>
      </c>
      <c r="C949">
        <v>130</v>
      </c>
      <c r="D949">
        <v>82</v>
      </c>
      <c r="E949">
        <v>0</v>
      </c>
      <c r="F949">
        <v>0</v>
      </c>
      <c r="G949">
        <v>39.1</v>
      </c>
      <c r="H949">
        <v>0.95599999999999996</v>
      </c>
      <c r="I949">
        <v>37</v>
      </c>
      <c r="J949">
        <v>1</v>
      </c>
      <c r="K949" t="str">
        <f t="shared" si="28"/>
        <v>Middle-Aged</v>
      </c>
      <c r="L949" t="str">
        <f t="shared" si="29"/>
        <v>Obese</v>
      </c>
    </row>
    <row r="950" spans="1:12" x14ac:dyDescent="0.2">
      <c r="A950">
        <v>949</v>
      </c>
      <c r="B950">
        <v>6</v>
      </c>
      <c r="C950">
        <v>87</v>
      </c>
      <c r="D950">
        <v>80</v>
      </c>
      <c r="E950">
        <v>0</v>
      </c>
      <c r="F950">
        <v>0</v>
      </c>
      <c r="G950">
        <v>23.2</v>
      </c>
      <c r="H950">
        <v>8.4000000000000005E-2</v>
      </c>
      <c r="I950">
        <v>32</v>
      </c>
      <c r="J950">
        <v>0</v>
      </c>
      <c r="K950" t="str">
        <f t="shared" si="28"/>
        <v>Middle-Aged</v>
      </c>
      <c r="L950" t="str">
        <f t="shared" si="29"/>
        <v>Normal</v>
      </c>
    </row>
    <row r="951" spans="1:12" x14ac:dyDescent="0.2">
      <c r="A951">
        <v>950</v>
      </c>
      <c r="B951">
        <v>0</v>
      </c>
      <c r="C951">
        <v>119</v>
      </c>
      <c r="D951">
        <v>64</v>
      </c>
      <c r="E951">
        <v>18</v>
      </c>
      <c r="F951">
        <v>92</v>
      </c>
      <c r="G951">
        <v>34.9</v>
      </c>
      <c r="H951">
        <v>0.72499999999999998</v>
      </c>
      <c r="I951">
        <v>23</v>
      </c>
      <c r="J951">
        <v>0</v>
      </c>
      <c r="K951" t="str">
        <f t="shared" si="28"/>
        <v>Young</v>
      </c>
      <c r="L951" t="str">
        <f t="shared" si="29"/>
        <v>Obese</v>
      </c>
    </row>
    <row r="952" spans="1:12" x14ac:dyDescent="0.2">
      <c r="A952">
        <v>951</v>
      </c>
      <c r="B952">
        <v>1</v>
      </c>
      <c r="C952">
        <v>121</v>
      </c>
      <c r="D952">
        <v>74</v>
      </c>
      <c r="E952">
        <v>20</v>
      </c>
      <c r="F952">
        <v>23</v>
      </c>
      <c r="G952">
        <v>27.7</v>
      </c>
      <c r="H952">
        <v>0.29899999999999999</v>
      </c>
      <c r="I952">
        <v>21</v>
      </c>
      <c r="J952">
        <v>0</v>
      </c>
      <c r="K952" t="str">
        <f t="shared" si="28"/>
        <v>Young</v>
      </c>
      <c r="L952" t="str">
        <f t="shared" si="29"/>
        <v>Overweight</v>
      </c>
    </row>
    <row r="953" spans="1:12" x14ac:dyDescent="0.2">
      <c r="A953">
        <v>952</v>
      </c>
      <c r="B953">
        <v>5</v>
      </c>
      <c r="C953">
        <v>73</v>
      </c>
      <c r="D953">
        <v>60</v>
      </c>
      <c r="E953">
        <v>0</v>
      </c>
      <c r="F953">
        <v>0</v>
      </c>
      <c r="G953">
        <v>26.8</v>
      </c>
      <c r="H953">
        <v>0.26800000000000002</v>
      </c>
      <c r="I953">
        <v>27</v>
      </c>
      <c r="J953">
        <v>0</v>
      </c>
      <c r="K953" t="str">
        <f t="shared" si="28"/>
        <v>Young</v>
      </c>
      <c r="L953" t="str">
        <f t="shared" si="29"/>
        <v>Overweight</v>
      </c>
    </row>
    <row r="954" spans="1:12" x14ac:dyDescent="0.2">
      <c r="A954">
        <v>953</v>
      </c>
      <c r="B954">
        <v>4</v>
      </c>
      <c r="C954">
        <v>141</v>
      </c>
      <c r="D954">
        <v>74</v>
      </c>
      <c r="E954">
        <v>0</v>
      </c>
      <c r="F954">
        <v>0</v>
      </c>
      <c r="G954">
        <v>27.6</v>
      </c>
      <c r="H954">
        <v>0.24399999999999999</v>
      </c>
      <c r="I954">
        <v>40</v>
      </c>
      <c r="J954">
        <v>0</v>
      </c>
      <c r="K954" t="str">
        <f t="shared" si="28"/>
        <v>Middle-Aged</v>
      </c>
      <c r="L954" t="str">
        <f t="shared" si="29"/>
        <v>Overweight</v>
      </c>
    </row>
    <row r="955" spans="1:12" x14ac:dyDescent="0.2">
      <c r="A955">
        <v>954</v>
      </c>
      <c r="B955">
        <v>7</v>
      </c>
      <c r="C955">
        <v>194</v>
      </c>
      <c r="D955">
        <v>68</v>
      </c>
      <c r="E955">
        <v>28</v>
      </c>
      <c r="F955">
        <v>0</v>
      </c>
      <c r="G955">
        <v>35.9</v>
      </c>
      <c r="H955">
        <v>0.745</v>
      </c>
      <c r="I955">
        <v>41</v>
      </c>
      <c r="J955">
        <v>1</v>
      </c>
      <c r="K955" t="str">
        <f t="shared" si="28"/>
        <v>Middle-Aged</v>
      </c>
      <c r="L955" t="str">
        <f t="shared" si="29"/>
        <v>Obese</v>
      </c>
    </row>
    <row r="956" spans="1:12" x14ac:dyDescent="0.2">
      <c r="A956">
        <v>955</v>
      </c>
      <c r="B956">
        <v>8</v>
      </c>
      <c r="C956">
        <v>181</v>
      </c>
      <c r="D956">
        <v>68</v>
      </c>
      <c r="E956">
        <v>36</v>
      </c>
      <c r="F956">
        <v>495</v>
      </c>
      <c r="G956">
        <v>30.1</v>
      </c>
      <c r="H956">
        <v>0.61499999999999999</v>
      </c>
      <c r="I956">
        <v>60</v>
      </c>
      <c r="J956">
        <v>1</v>
      </c>
      <c r="K956" t="str">
        <f t="shared" si="28"/>
        <v>Senior</v>
      </c>
      <c r="L956" t="str">
        <f t="shared" si="29"/>
        <v>Obese</v>
      </c>
    </row>
    <row r="957" spans="1:12" x14ac:dyDescent="0.2">
      <c r="A957">
        <v>956</v>
      </c>
      <c r="B957">
        <v>1</v>
      </c>
      <c r="C957">
        <v>128</v>
      </c>
      <c r="D957">
        <v>98</v>
      </c>
      <c r="E957">
        <v>41</v>
      </c>
      <c r="F957">
        <v>58</v>
      </c>
      <c r="G957">
        <v>32</v>
      </c>
      <c r="H957">
        <v>1.321</v>
      </c>
      <c r="I957">
        <v>33</v>
      </c>
      <c r="J957">
        <v>1</v>
      </c>
      <c r="K957" t="str">
        <f t="shared" si="28"/>
        <v>Middle-Aged</v>
      </c>
      <c r="L957" t="str">
        <f t="shared" si="29"/>
        <v>Obese</v>
      </c>
    </row>
    <row r="958" spans="1:12" x14ac:dyDescent="0.2">
      <c r="A958">
        <v>957</v>
      </c>
      <c r="B958">
        <v>8</v>
      </c>
      <c r="C958">
        <v>109</v>
      </c>
      <c r="D958">
        <v>76</v>
      </c>
      <c r="E958">
        <v>39</v>
      </c>
      <c r="F958">
        <v>114</v>
      </c>
      <c r="G958">
        <v>27.9</v>
      </c>
      <c r="H958">
        <v>0.64</v>
      </c>
      <c r="I958">
        <v>31</v>
      </c>
      <c r="J958">
        <v>1</v>
      </c>
      <c r="K958" t="str">
        <f t="shared" si="28"/>
        <v>Middle-Aged</v>
      </c>
      <c r="L958" t="str">
        <f t="shared" si="29"/>
        <v>Overweight</v>
      </c>
    </row>
    <row r="959" spans="1:12" x14ac:dyDescent="0.2">
      <c r="A959">
        <v>958</v>
      </c>
      <c r="B959">
        <v>5</v>
      </c>
      <c r="C959">
        <v>139</v>
      </c>
      <c r="D959">
        <v>80</v>
      </c>
      <c r="E959">
        <v>35</v>
      </c>
      <c r="F959">
        <v>160</v>
      </c>
      <c r="G959">
        <v>31.6</v>
      </c>
      <c r="H959">
        <v>0.36099999999999999</v>
      </c>
      <c r="I959">
        <v>25</v>
      </c>
      <c r="J959">
        <v>1</v>
      </c>
      <c r="K959" t="str">
        <f t="shared" si="28"/>
        <v>Young</v>
      </c>
      <c r="L959" t="str">
        <f t="shared" si="29"/>
        <v>Obese</v>
      </c>
    </row>
    <row r="960" spans="1:12" x14ac:dyDescent="0.2">
      <c r="A960">
        <v>959</v>
      </c>
      <c r="B960">
        <v>3</v>
      </c>
      <c r="C960">
        <v>111</v>
      </c>
      <c r="D960">
        <v>62</v>
      </c>
      <c r="E960">
        <v>0</v>
      </c>
      <c r="F960">
        <v>0</v>
      </c>
      <c r="G960">
        <v>22.6</v>
      </c>
      <c r="H960">
        <v>0.14199999999999999</v>
      </c>
      <c r="I960">
        <v>21</v>
      </c>
      <c r="J960">
        <v>0</v>
      </c>
      <c r="K960" t="str">
        <f t="shared" si="28"/>
        <v>Young</v>
      </c>
      <c r="L960" t="str">
        <f t="shared" si="29"/>
        <v>Normal</v>
      </c>
    </row>
    <row r="961" spans="1:12" x14ac:dyDescent="0.2">
      <c r="A961">
        <v>960</v>
      </c>
      <c r="B961">
        <v>9</v>
      </c>
      <c r="C961">
        <v>123</v>
      </c>
      <c r="D961">
        <v>70</v>
      </c>
      <c r="E961">
        <v>44</v>
      </c>
      <c r="F961">
        <v>94</v>
      </c>
      <c r="G961">
        <v>33.1</v>
      </c>
      <c r="H961">
        <v>0.374</v>
      </c>
      <c r="I961">
        <v>40</v>
      </c>
      <c r="J961">
        <v>0</v>
      </c>
      <c r="K961" t="str">
        <f t="shared" si="28"/>
        <v>Middle-Aged</v>
      </c>
      <c r="L961" t="str">
        <f t="shared" si="29"/>
        <v>Obese</v>
      </c>
    </row>
    <row r="962" spans="1:12" x14ac:dyDescent="0.2">
      <c r="A962">
        <v>961</v>
      </c>
      <c r="B962">
        <v>7</v>
      </c>
      <c r="C962">
        <v>159</v>
      </c>
      <c r="D962">
        <v>66</v>
      </c>
      <c r="E962">
        <v>0</v>
      </c>
      <c r="F962">
        <v>0</v>
      </c>
      <c r="G962">
        <v>30.4</v>
      </c>
      <c r="H962">
        <v>0.38300000000000001</v>
      </c>
      <c r="I962">
        <v>36</v>
      </c>
      <c r="J962">
        <v>1</v>
      </c>
      <c r="K962" t="str">
        <f t="shared" si="28"/>
        <v>Middle-Aged</v>
      </c>
      <c r="L962" t="str">
        <f t="shared" si="29"/>
        <v>Obese</v>
      </c>
    </row>
    <row r="963" spans="1:12" x14ac:dyDescent="0.2">
      <c r="A963">
        <v>962</v>
      </c>
      <c r="B963">
        <v>11</v>
      </c>
      <c r="C963">
        <v>135</v>
      </c>
      <c r="D963">
        <v>121</v>
      </c>
      <c r="E963">
        <v>0</v>
      </c>
      <c r="F963">
        <v>0</v>
      </c>
      <c r="G963">
        <v>52.3</v>
      </c>
      <c r="H963">
        <v>0.57799999999999996</v>
      </c>
      <c r="I963">
        <v>40</v>
      </c>
      <c r="J963">
        <v>1</v>
      </c>
      <c r="K963" t="str">
        <f t="shared" ref="K963:K1026" si="30">IF(I963&lt;30, "Young", IF( I963&lt;45, "Middle-Aged", "Senior"))</f>
        <v>Middle-Aged</v>
      </c>
      <c r="L963" t="str">
        <f t="shared" ref="L963:L1026" si="31">IF(G963&lt;18.5, "Underweight", IF(G963&lt;25, "Normal", IF(G963&lt;30, "Overweight", "Obese")))</f>
        <v>Obese</v>
      </c>
    </row>
    <row r="964" spans="1:12" x14ac:dyDescent="0.2">
      <c r="A964">
        <v>963</v>
      </c>
      <c r="B964">
        <v>8</v>
      </c>
      <c r="C964">
        <v>85</v>
      </c>
      <c r="D964">
        <v>55</v>
      </c>
      <c r="E964">
        <v>20</v>
      </c>
      <c r="F964">
        <v>0</v>
      </c>
      <c r="G964">
        <v>24.4</v>
      </c>
      <c r="H964">
        <v>0.13600000000000001</v>
      </c>
      <c r="I964">
        <v>42</v>
      </c>
      <c r="J964">
        <v>0</v>
      </c>
      <c r="K964" t="str">
        <f t="shared" si="30"/>
        <v>Middle-Aged</v>
      </c>
      <c r="L964" t="str">
        <f t="shared" si="31"/>
        <v>Normal</v>
      </c>
    </row>
    <row r="965" spans="1:12" x14ac:dyDescent="0.2">
      <c r="A965">
        <v>964</v>
      </c>
      <c r="B965">
        <v>5</v>
      </c>
      <c r="C965">
        <v>158</v>
      </c>
      <c r="D965">
        <v>84</v>
      </c>
      <c r="E965">
        <v>41</v>
      </c>
      <c r="F965">
        <v>210</v>
      </c>
      <c r="G965">
        <v>39.4</v>
      </c>
      <c r="H965">
        <v>0.39500000000000002</v>
      </c>
      <c r="I965">
        <v>29</v>
      </c>
      <c r="J965">
        <v>1</v>
      </c>
      <c r="K965" t="str">
        <f t="shared" si="30"/>
        <v>Young</v>
      </c>
      <c r="L965" t="str">
        <f t="shared" si="31"/>
        <v>Obese</v>
      </c>
    </row>
    <row r="966" spans="1:12" x14ac:dyDescent="0.2">
      <c r="A966">
        <v>965</v>
      </c>
      <c r="B966">
        <v>1</v>
      </c>
      <c r="C966">
        <v>105</v>
      </c>
      <c r="D966">
        <v>58</v>
      </c>
      <c r="E966">
        <v>0</v>
      </c>
      <c r="F966">
        <v>0</v>
      </c>
      <c r="G966">
        <v>24.3</v>
      </c>
      <c r="H966">
        <v>0.187</v>
      </c>
      <c r="I966">
        <v>21</v>
      </c>
      <c r="J966">
        <v>0</v>
      </c>
      <c r="K966" t="str">
        <f t="shared" si="30"/>
        <v>Young</v>
      </c>
      <c r="L966" t="str">
        <f t="shared" si="31"/>
        <v>Normal</v>
      </c>
    </row>
    <row r="967" spans="1:12" x14ac:dyDescent="0.2">
      <c r="A967">
        <v>966</v>
      </c>
      <c r="B967">
        <v>3</v>
      </c>
      <c r="C967">
        <v>107</v>
      </c>
      <c r="D967">
        <v>62</v>
      </c>
      <c r="E967">
        <v>13</v>
      </c>
      <c r="F967">
        <v>48</v>
      </c>
      <c r="G967">
        <v>22.9</v>
      </c>
      <c r="H967">
        <v>0.67800000000000005</v>
      </c>
      <c r="I967">
        <v>23</v>
      </c>
      <c r="J967">
        <v>1</v>
      </c>
      <c r="K967" t="str">
        <f t="shared" si="30"/>
        <v>Young</v>
      </c>
      <c r="L967" t="str">
        <f t="shared" si="31"/>
        <v>Normal</v>
      </c>
    </row>
    <row r="968" spans="1:12" x14ac:dyDescent="0.2">
      <c r="A968">
        <v>967</v>
      </c>
      <c r="B968">
        <v>4</v>
      </c>
      <c r="C968">
        <v>109</v>
      </c>
      <c r="D968">
        <v>64</v>
      </c>
      <c r="E968">
        <v>44</v>
      </c>
      <c r="F968">
        <v>99</v>
      </c>
      <c r="G968">
        <v>34.799999999999997</v>
      </c>
      <c r="H968">
        <v>0.90500000000000003</v>
      </c>
      <c r="I968">
        <v>26</v>
      </c>
      <c r="J968">
        <v>1</v>
      </c>
      <c r="K968" t="str">
        <f t="shared" si="30"/>
        <v>Young</v>
      </c>
      <c r="L968" t="str">
        <f t="shared" si="31"/>
        <v>Obese</v>
      </c>
    </row>
    <row r="969" spans="1:12" x14ac:dyDescent="0.2">
      <c r="A969">
        <v>968</v>
      </c>
      <c r="B969">
        <v>4</v>
      </c>
      <c r="C969">
        <v>148</v>
      </c>
      <c r="D969">
        <v>60</v>
      </c>
      <c r="E969">
        <v>27</v>
      </c>
      <c r="F969">
        <v>318</v>
      </c>
      <c r="G969">
        <v>30.9</v>
      </c>
      <c r="H969">
        <v>0.15</v>
      </c>
      <c r="I969">
        <v>29</v>
      </c>
      <c r="J969">
        <v>1</v>
      </c>
      <c r="K969" t="str">
        <f t="shared" si="30"/>
        <v>Young</v>
      </c>
      <c r="L969" t="str">
        <f t="shared" si="31"/>
        <v>Obese</v>
      </c>
    </row>
    <row r="970" spans="1:12" x14ac:dyDescent="0.2">
      <c r="A970">
        <v>969</v>
      </c>
      <c r="B970">
        <v>0</v>
      </c>
      <c r="C970">
        <v>113</v>
      </c>
      <c r="D970">
        <v>80</v>
      </c>
      <c r="E970">
        <v>16</v>
      </c>
      <c r="F970">
        <v>0</v>
      </c>
      <c r="G970">
        <v>31</v>
      </c>
      <c r="H970">
        <v>0.874</v>
      </c>
      <c r="I970">
        <v>21</v>
      </c>
      <c r="J970">
        <v>0</v>
      </c>
      <c r="K970" t="str">
        <f t="shared" si="30"/>
        <v>Young</v>
      </c>
      <c r="L970" t="str">
        <f t="shared" si="31"/>
        <v>Obese</v>
      </c>
    </row>
    <row r="971" spans="1:12" x14ac:dyDescent="0.2">
      <c r="A971">
        <v>970</v>
      </c>
      <c r="B971">
        <v>1</v>
      </c>
      <c r="C971">
        <v>138</v>
      </c>
      <c r="D971">
        <v>82</v>
      </c>
      <c r="E971">
        <v>0</v>
      </c>
      <c r="F971">
        <v>0</v>
      </c>
      <c r="G971">
        <v>40.1</v>
      </c>
      <c r="H971">
        <v>0.23599999999999999</v>
      </c>
      <c r="I971">
        <v>28</v>
      </c>
      <c r="J971">
        <v>0</v>
      </c>
      <c r="K971" t="str">
        <f t="shared" si="30"/>
        <v>Young</v>
      </c>
      <c r="L971" t="str">
        <f t="shared" si="31"/>
        <v>Obese</v>
      </c>
    </row>
    <row r="972" spans="1:12" x14ac:dyDescent="0.2">
      <c r="A972">
        <v>971</v>
      </c>
      <c r="B972">
        <v>0</v>
      </c>
      <c r="C972">
        <v>108</v>
      </c>
      <c r="D972">
        <v>68</v>
      </c>
      <c r="E972">
        <v>20</v>
      </c>
      <c r="F972">
        <v>0</v>
      </c>
      <c r="G972">
        <v>27.3</v>
      </c>
      <c r="H972">
        <v>0.78700000000000003</v>
      </c>
      <c r="I972">
        <v>32</v>
      </c>
      <c r="J972">
        <v>0</v>
      </c>
      <c r="K972" t="str">
        <f t="shared" si="30"/>
        <v>Middle-Aged</v>
      </c>
      <c r="L972" t="str">
        <f t="shared" si="31"/>
        <v>Overweight</v>
      </c>
    </row>
    <row r="973" spans="1:12" x14ac:dyDescent="0.2">
      <c r="A973">
        <v>972</v>
      </c>
      <c r="B973">
        <v>2</v>
      </c>
      <c r="C973">
        <v>99</v>
      </c>
      <c r="D973">
        <v>70</v>
      </c>
      <c r="E973">
        <v>16</v>
      </c>
      <c r="F973">
        <v>44</v>
      </c>
      <c r="G973">
        <v>20.399999999999999</v>
      </c>
      <c r="H973">
        <v>0.23499999999999999</v>
      </c>
      <c r="I973">
        <v>27</v>
      </c>
      <c r="J973">
        <v>0</v>
      </c>
      <c r="K973" t="str">
        <f t="shared" si="30"/>
        <v>Young</v>
      </c>
      <c r="L973" t="str">
        <f t="shared" si="31"/>
        <v>Normal</v>
      </c>
    </row>
    <row r="974" spans="1:12" x14ac:dyDescent="0.2">
      <c r="A974">
        <v>973</v>
      </c>
      <c r="B974">
        <v>6</v>
      </c>
      <c r="C974">
        <v>103</v>
      </c>
      <c r="D974">
        <v>72</v>
      </c>
      <c r="E974">
        <v>32</v>
      </c>
      <c r="F974">
        <v>190</v>
      </c>
      <c r="G974">
        <v>37.700000000000003</v>
      </c>
      <c r="H974">
        <v>0.32400000000000001</v>
      </c>
      <c r="I974">
        <v>55</v>
      </c>
      <c r="J974">
        <v>0</v>
      </c>
      <c r="K974" t="str">
        <f t="shared" si="30"/>
        <v>Senior</v>
      </c>
      <c r="L974" t="str">
        <f t="shared" si="31"/>
        <v>Obese</v>
      </c>
    </row>
    <row r="975" spans="1:12" x14ac:dyDescent="0.2">
      <c r="A975">
        <v>974</v>
      </c>
      <c r="B975">
        <v>5</v>
      </c>
      <c r="C975">
        <v>111</v>
      </c>
      <c r="D975">
        <v>72</v>
      </c>
      <c r="E975">
        <v>28</v>
      </c>
      <c r="F975">
        <v>0</v>
      </c>
      <c r="G975">
        <v>23.9</v>
      </c>
      <c r="H975">
        <v>0.40699999999999997</v>
      </c>
      <c r="I975">
        <v>27</v>
      </c>
      <c r="J975">
        <v>0</v>
      </c>
      <c r="K975" t="str">
        <f t="shared" si="30"/>
        <v>Young</v>
      </c>
      <c r="L975" t="str">
        <f t="shared" si="31"/>
        <v>Normal</v>
      </c>
    </row>
    <row r="976" spans="1:12" x14ac:dyDescent="0.2">
      <c r="A976">
        <v>975</v>
      </c>
      <c r="B976">
        <v>8</v>
      </c>
      <c r="C976">
        <v>196</v>
      </c>
      <c r="D976">
        <v>76</v>
      </c>
      <c r="E976">
        <v>29</v>
      </c>
      <c r="F976">
        <v>280</v>
      </c>
      <c r="G976">
        <v>37.5</v>
      </c>
      <c r="H976">
        <v>0.60499999999999998</v>
      </c>
      <c r="I976">
        <v>57</v>
      </c>
      <c r="J976">
        <v>1</v>
      </c>
      <c r="K976" t="str">
        <f t="shared" si="30"/>
        <v>Senior</v>
      </c>
      <c r="L976" t="str">
        <f t="shared" si="31"/>
        <v>Obese</v>
      </c>
    </row>
    <row r="977" spans="1:12" x14ac:dyDescent="0.2">
      <c r="A977">
        <v>976</v>
      </c>
      <c r="B977">
        <v>5</v>
      </c>
      <c r="C977">
        <v>162</v>
      </c>
      <c r="D977">
        <v>104</v>
      </c>
      <c r="E977">
        <v>0</v>
      </c>
      <c r="F977">
        <v>0</v>
      </c>
      <c r="G977">
        <v>37.700000000000003</v>
      </c>
      <c r="H977">
        <v>0.151</v>
      </c>
      <c r="I977">
        <v>52</v>
      </c>
      <c r="J977">
        <v>1</v>
      </c>
      <c r="K977" t="str">
        <f t="shared" si="30"/>
        <v>Senior</v>
      </c>
      <c r="L977" t="str">
        <f t="shared" si="31"/>
        <v>Obese</v>
      </c>
    </row>
    <row r="978" spans="1:12" x14ac:dyDescent="0.2">
      <c r="A978">
        <v>977</v>
      </c>
      <c r="B978">
        <v>1</v>
      </c>
      <c r="C978">
        <v>96</v>
      </c>
      <c r="D978">
        <v>64</v>
      </c>
      <c r="E978">
        <v>27</v>
      </c>
      <c r="F978">
        <v>87</v>
      </c>
      <c r="G978">
        <v>33.200000000000003</v>
      </c>
      <c r="H978">
        <v>0.28899999999999998</v>
      </c>
      <c r="I978">
        <v>21</v>
      </c>
      <c r="J978">
        <v>0</v>
      </c>
      <c r="K978" t="str">
        <f t="shared" si="30"/>
        <v>Young</v>
      </c>
      <c r="L978" t="str">
        <f t="shared" si="31"/>
        <v>Obese</v>
      </c>
    </row>
    <row r="979" spans="1:12" x14ac:dyDescent="0.2">
      <c r="A979">
        <v>978</v>
      </c>
      <c r="B979">
        <v>7</v>
      </c>
      <c r="C979">
        <v>184</v>
      </c>
      <c r="D979">
        <v>84</v>
      </c>
      <c r="E979">
        <v>33</v>
      </c>
      <c r="F979">
        <v>0</v>
      </c>
      <c r="G979">
        <v>35.5</v>
      </c>
      <c r="H979">
        <v>0.35499999999999998</v>
      </c>
      <c r="I979">
        <v>41</v>
      </c>
      <c r="J979">
        <v>1</v>
      </c>
      <c r="K979" t="str">
        <f t="shared" si="30"/>
        <v>Middle-Aged</v>
      </c>
      <c r="L979" t="str">
        <f t="shared" si="31"/>
        <v>Obese</v>
      </c>
    </row>
    <row r="980" spans="1:12" x14ac:dyDescent="0.2">
      <c r="A980">
        <v>979</v>
      </c>
      <c r="B980">
        <v>2</v>
      </c>
      <c r="C980">
        <v>81</v>
      </c>
      <c r="D980">
        <v>60</v>
      </c>
      <c r="E980">
        <v>22</v>
      </c>
      <c r="F980">
        <v>0</v>
      </c>
      <c r="G980">
        <v>27.7</v>
      </c>
      <c r="H980">
        <v>0.28999999999999998</v>
      </c>
      <c r="I980">
        <v>25</v>
      </c>
      <c r="J980">
        <v>0</v>
      </c>
      <c r="K980" t="str">
        <f t="shared" si="30"/>
        <v>Young</v>
      </c>
      <c r="L980" t="str">
        <f t="shared" si="31"/>
        <v>Overweight</v>
      </c>
    </row>
    <row r="981" spans="1:12" x14ac:dyDescent="0.2">
      <c r="A981">
        <v>980</v>
      </c>
      <c r="B981">
        <v>0</v>
      </c>
      <c r="C981">
        <v>147</v>
      </c>
      <c r="D981">
        <v>85</v>
      </c>
      <c r="E981">
        <v>54</v>
      </c>
      <c r="F981">
        <v>0</v>
      </c>
      <c r="G981">
        <v>42.8</v>
      </c>
      <c r="H981">
        <v>0.375</v>
      </c>
      <c r="I981">
        <v>24</v>
      </c>
      <c r="J981">
        <v>0</v>
      </c>
      <c r="K981" t="str">
        <f t="shared" si="30"/>
        <v>Young</v>
      </c>
      <c r="L981" t="str">
        <f t="shared" si="31"/>
        <v>Obese</v>
      </c>
    </row>
    <row r="982" spans="1:12" x14ac:dyDescent="0.2">
      <c r="A982">
        <v>981</v>
      </c>
      <c r="B982">
        <v>7</v>
      </c>
      <c r="C982">
        <v>179</v>
      </c>
      <c r="D982">
        <v>95</v>
      </c>
      <c r="E982">
        <v>31</v>
      </c>
      <c r="F982">
        <v>0</v>
      </c>
      <c r="G982">
        <v>34.200000000000003</v>
      </c>
      <c r="H982">
        <v>0.16400000000000001</v>
      </c>
      <c r="I982">
        <v>60</v>
      </c>
      <c r="J982">
        <v>0</v>
      </c>
      <c r="K982" t="str">
        <f t="shared" si="30"/>
        <v>Senior</v>
      </c>
      <c r="L982" t="str">
        <f t="shared" si="31"/>
        <v>Obese</v>
      </c>
    </row>
    <row r="983" spans="1:12" x14ac:dyDescent="0.2">
      <c r="A983">
        <v>982</v>
      </c>
      <c r="B983">
        <v>0</v>
      </c>
      <c r="C983">
        <v>140</v>
      </c>
      <c r="D983">
        <v>65</v>
      </c>
      <c r="E983">
        <v>26</v>
      </c>
      <c r="F983">
        <v>130</v>
      </c>
      <c r="G983">
        <v>42.6</v>
      </c>
      <c r="H983">
        <v>0.43099999999999999</v>
      </c>
      <c r="I983">
        <v>24</v>
      </c>
      <c r="J983">
        <v>1</v>
      </c>
      <c r="K983" t="str">
        <f t="shared" si="30"/>
        <v>Young</v>
      </c>
      <c r="L983" t="str">
        <f t="shared" si="31"/>
        <v>Obese</v>
      </c>
    </row>
    <row r="984" spans="1:12" x14ac:dyDescent="0.2">
      <c r="A984">
        <v>983</v>
      </c>
      <c r="B984">
        <v>9</v>
      </c>
      <c r="C984">
        <v>112</v>
      </c>
      <c r="D984">
        <v>82</v>
      </c>
      <c r="E984">
        <v>32</v>
      </c>
      <c r="F984">
        <v>175</v>
      </c>
      <c r="G984">
        <v>34.200000000000003</v>
      </c>
      <c r="H984">
        <v>0.26</v>
      </c>
      <c r="I984">
        <v>36</v>
      </c>
      <c r="J984">
        <v>1</v>
      </c>
      <c r="K984" t="str">
        <f t="shared" si="30"/>
        <v>Middle-Aged</v>
      </c>
      <c r="L984" t="str">
        <f t="shared" si="31"/>
        <v>Obese</v>
      </c>
    </row>
    <row r="985" spans="1:12" x14ac:dyDescent="0.2">
      <c r="A985">
        <v>984</v>
      </c>
      <c r="B985">
        <v>12</v>
      </c>
      <c r="C985">
        <v>151</v>
      </c>
      <c r="D985">
        <v>70</v>
      </c>
      <c r="E985">
        <v>40</v>
      </c>
      <c r="F985">
        <v>271</v>
      </c>
      <c r="G985">
        <v>41.8</v>
      </c>
      <c r="H985">
        <v>0.74199999999999999</v>
      </c>
      <c r="I985">
        <v>38</v>
      </c>
      <c r="J985">
        <v>1</v>
      </c>
      <c r="K985" t="str">
        <f t="shared" si="30"/>
        <v>Middle-Aged</v>
      </c>
      <c r="L985" t="str">
        <f t="shared" si="31"/>
        <v>Obese</v>
      </c>
    </row>
    <row r="986" spans="1:12" x14ac:dyDescent="0.2">
      <c r="A986">
        <v>985</v>
      </c>
      <c r="B986">
        <v>5</v>
      </c>
      <c r="C986">
        <v>109</v>
      </c>
      <c r="D986">
        <v>62</v>
      </c>
      <c r="E986">
        <v>41</v>
      </c>
      <c r="F986">
        <v>129</v>
      </c>
      <c r="G986">
        <v>35.799999999999997</v>
      </c>
      <c r="H986">
        <v>0.51400000000000001</v>
      </c>
      <c r="I986">
        <v>25</v>
      </c>
      <c r="J986">
        <v>1</v>
      </c>
      <c r="K986" t="str">
        <f t="shared" si="30"/>
        <v>Young</v>
      </c>
      <c r="L986" t="str">
        <f t="shared" si="31"/>
        <v>Obese</v>
      </c>
    </row>
    <row r="987" spans="1:12" x14ac:dyDescent="0.2">
      <c r="A987">
        <v>986</v>
      </c>
      <c r="B987">
        <v>6</v>
      </c>
      <c r="C987">
        <v>125</v>
      </c>
      <c r="D987">
        <v>68</v>
      </c>
      <c r="E987">
        <v>30</v>
      </c>
      <c r="F987">
        <v>120</v>
      </c>
      <c r="G987">
        <v>30</v>
      </c>
      <c r="H987">
        <v>0.46400000000000002</v>
      </c>
      <c r="I987">
        <v>32</v>
      </c>
      <c r="J987">
        <v>0</v>
      </c>
      <c r="K987" t="str">
        <f t="shared" si="30"/>
        <v>Middle-Aged</v>
      </c>
      <c r="L987" t="str">
        <f t="shared" si="31"/>
        <v>Obese</v>
      </c>
    </row>
    <row r="988" spans="1:12" x14ac:dyDescent="0.2">
      <c r="A988">
        <v>987</v>
      </c>
      <c r="B988">
        <v>5</v>
      </c>
      <c r="C988">
        <v>85</v>
      </c>
      <c r="D988">
        <v>74</v>
      </c>
      <c r="E988">
        <v>22</v>
      </c>
      <c r="F988">
        <v>0</v>
      </c>
      <c r="G988">
        <v>29</v>
      </c>
      <c r="H988">
        <v>1.224</v>
      </c>
      <c r="I988">
        <v>32</v>
      </c>
      <c r="J988">
        <v>1</v>
      </c>
      <c r="K988" t="str">
        <f t="shared" si="30"/>
        <v>Middle-Aged</v>
      </c>
      <c r="L988" t="str">
        <f t="shared" si="31"/>
        <v>Overweight</v>
      </c>
    </row>
    <row r="989" spans="1:12" x14ac:dyDescent="0.2">
      <c r="A989">
        <v>988</v>
      </c>
      <c r="B989">
        <v>5</v>
      </c>
      <c r="C989">
        <v>112</v>
      </c>
      <c r="D989">
        <v>66</v>
      </c>
      <c r="E989">
        <v>0</v>
      </c>
      <c r="F989">
        <v>0</v>
      </c>
      <c r="G989">
        <v>37.799999999999997</v>
      </c>
      <c r="H989">
        <v>0.26100000000000001</v>
      </c>
      <c r="I989">
        <v>41</v>
      </c>
      <c r="J989">
        <v>1</v>
      </c>
      <c r="K989" t="str">
        <f t="shared" si="30"/>
        <v>Middle-Aged</v>
      </c>
      <c r="L989" t="str">
        <f t="shared" si="31"/>
        <v>Obese</v>
      </c>
    </row>
    <row r="990" spans="1:12" x14ac:dyDescent="0.2">
      <c r="A990">
        <v>989</v>
      </c>
      <c r="B990">
        <v>0</v>
      </c>
      <c r="C990">
        <v>177</v>
      </c>
      <c r="D990">
        <v>60</v>
      </c>
      <c r="E990">
        <v>29</v>
      </c>
      <c r="F990">
        <v>478</v>
      </c>
      <c r="G990">
        <v>34.6</v>
      </c>
      <c r="H990">
        <v>1.0720000000000001</v>
      </c>
      <c r="I990">
        <v>21</v>
      </c>
      <c r="J990">
        <v>1</v>
      </c>
      <c r="K990" t="str">
        <f t="shared" si="30"/>
        <v>Young</v>
      </c>
      <c r="L990" t="str">
        <f t="shared" si="31"/>
        <v>Obese</v>
      </c>
    </row>
    <row r="991" spans="1:12" x14ac:dyDescent="0.2">
      <c r="A991">
        <v>990</v>
      </c>
      <c r="B991">
        <v>2</v>
      </c>
      <c r="C991">
        <v>158</v>
      </c>
      <c r="D991">
        <v>90</v>
      </c>
      <c r="E991">
        <v>0</v>
      </c>
      <c r="F991">
        <v>0</v>
      </c>
      <c r="G991">
        <v>31.6</v>
      </c>
      <c r="H991">
        <v>0.80500000000000005</v>
      </c>
      <c r="I991">
        <v>66</v>
      </c>
      <c r="J991">
        <v>1</v>
      </c>
      <c r="K991" t="str">
        <f t="shared" si="30"/>
        <v>Senior</v>
      </c>
      <c r="L991" t="str">
        <f t="shared" si="31"/>
        <v>Obese</v>
      </c>
    </row>
    <row r="992" spans="1:12" x14ac:dyDescent="0.2">
      <c r="A992">
        <v>991</v>
      </c>
      <c r="B992">
        <v>7</v>
      </c>
      <c r="C992">
        <v>119</v>
      </c>
      <c r="D992">
        <v>121</v>
      </c>
      <c r="E992">
        <v>0</v>
      </c>
      <c r="F992">
        <v>0</v>
      </c>
      <c r="G992">
        <v>25.2</v>
      </c>
      <c r="H992">
        <v>0.20899999999999999</v>
      </c>
      <c r="I992">
        <v>37</v>
      </c>
      <c r="J992">
        <v>0</v>
      </c>
      <c r="K992" t="str">
        <f t="shared" si="30"/>
        <v>Middle-Aged</v>
      </c>
      <c r="L992" t="str">
        <f t="shared" si="31"/>
        <v>Overweight</v>
      </c>
    </row>
    <row r="993" spans="1:12" x14ac:dyDescent="0.2">
      <c r="A993">
        <v>992</v>
      </c>
      <c r="B993">
        <v>7</v>
      </c>
      <c r="C993">
        <v>142</v>
      </c>
      <c r="D993">
        <v>60</v>
      </c>
      <c r="E993">
        <v>33</v>
      </c>
      <c r="F993">
        <v>190</v>
      </c>
      <c r="G993">
        <v>28.8</v>
      </c>
      <c r="H993">
        <v>0.68700000000000006</v>
      </c>
      <c r="I993">
        <v>61</v>
      </c>
      <c r="J993">
        <v>0</v>
      </c>
      <c r="K993" t="str">
        <f t="shared" si="30"/>
        <v>Senior</v>
      </c>
      <c r="L993" t="str">
        <f t="shared" si="31"/>
        <v>Overweight</v>
      </c>
    </row>
    <row r="994" spans="1:12" x14ac:dyDescent="0.2">
      <c r="A994">
        <v>993</v>
      </c>
      <c r="B994">
        <v>1</v>
      </c>
      <c r="C994">
        <v>100</v>
      </c>
      <c r="D994">
        <v>66</v>
      </c>
      <c r="E994">
        <v>15</v>
      </c>
      <c r="F994">
        <v>56</v>
      </c>
      <c r="G994">
        <v>23.6</v>
      </c>
      <c r="H994">
        <v>0.66600000000000004</v>
      </c>
      <c r="I994">
        <v>26</v>
      </c>
      <c r="J994">
        <v>0</v>
      </c>
      <c r="K994" t="str">
        <f t="shared" si="30"/>
        <v>Young</v>
      </c>
      <c r="L994" t="str">
        <f t="shared" si="31"/>
        <v>Normal</v>
      </c>
    </row>
    <row r="995" spans="1:12" x14ac:dyDescent="0.2">
      <c r="A995">
        <v>994</v>
      </c>
      <c r="B995">
        <v>1</v>
      </c>
      <c r="C995">
        <v>87</v>
      </c>
      <c r="D995">
        <v>78</v>
      </c>
      <c r="E995">
        <v>27</v>
      </c>
      <c r="F995">
        <v>32</v>
      </c>
      <c r="G995">
        <v>34.6</v>
      </c>
      <c r="H995">
        <v>0.10100000000000001</v>
      </c>
      <c r="I995">
        <v>22</v>
      </c>
      <c r="J995">
        <v>0</v>
      </c>
      <c r="K995" t="str">
        <f t="shared" si="30"/>
        <v>Young</v>
      </c>
      <c r="L995" t="str">
        <f t="shared" si="31"/>
        <v>Obese</v>
      </c>
    </row>
    <row r="996" spans="1:12" x14ac:dyDescent="0.2">
      <c r="A996">
        <v>995</v>
      </c>
      <c r="B996">
        <v>0</v>
      </c>
      <c r="C996">
        <v>101</v>
      </c>
      <c r="D996">
        <v>76</v>
      </c>
      <c r="E996">
        <v>0</v>
      </c>
      <c r="F996">
        <v>0</v>
      </c>
      <c r="G996">
        <v>35.700000000000003</v>
      </c>
      <c r="H996">
        <v>0.19800000000000001</v>
      </c>
      <c r="I996">
        <v>26</v>
      </c>
      <c r="J996">
        <v>0</v>
      </c>
      <c r="K996" t="str">
        <f t="shared" si="30"/>
        <v>Young</v>
      </c>
      <c r="L996" t="str">
        <f t="shared" si="31"/>
        <v>Obese</v>
      </c>
    </row>
    <row r="997" spans="1:12" x14ac:dyDescent="0.2">
      <c r="A997">
        <v>996</v>
      </c>
      <c r="B997">
        <v>3</v>
      </c>
      <c r="C997">
        <v>162</v>
      </c>
      <c r="D997">
        <v>52</v>
      </c>
      <c r="E997">
        <v>38</v>
      </c>
      <c r="F997">
        <v>0</v>
      </c>
      <c r="G997">
        <v>37.200000000000003</v>
      </c>
      <c r="H997">
        <v>0.65200000000000002</v>
      </c>
      <c r="I997">
        <v>24</v>
      </c>
      <c r="J997">
        <v>1</v>
      </c>
      <c r="K997" t="str">
        <f t="shared" si="30"/>
        <v>Young</v>
      </c>
      <c r="L997" t="str">
        <f t="shared" si="31"/>
        <v>Obese</v>
      </c>
    </row>
    <row r="998" spans="1:12" x14ac:dyDescent="0.2">
      <c r="A998">
        <v>997</v>
      </c>
      <c r="B998">
        <v>4</v>
      </c>
      <c r="C998">
        <v>197</v>
      </c>
      <c r="D998">
        <v>70</v>
      </c>
      <c r="E998">
        <v>39</v>
      </c>
      <c r="F998">
        <v>744</v>
      </c>
      <c r="G998">
        <v>36.700000000000003</v>
      </c>
      <c r="H998">
        <v>2.3290000000000002</v>
      </c>
      <c r="I998">
        <v>31</v>
      </c>
      <c r="J998">
        <v>0</v>
      </c>
      <c r="K998" t="str">
        <f t="shared" si="30"/>
        <v>Middle-Aged</v>
      </c>
      <c r="L998" t="str">
        <f t="shared" si="31"/>
        <v>Obese</v>
      </c>
    </row>
    <row r="999" spans="1:12" x14ac:dyDescent="0.2">
      <c r="A999">
        <v>998</v>
      </c>
      <c r="B999">
        <v>0</v>
      </c>
      <c r="C999">
        <v>117</v>
      </c>
      <c r="D999">
        <v>80</v>
      </c>
      <c r="E999">
        <v>31</v>
      </c>
      <c r="F999">
        <v>53</v>
      </c>
      <c r="G999">
        <v>45.2</v>
      </c>
      <c r="H999">
        <v>8.8999999999999996E-2</v>
      </c>
      <c r="I999">
        <v>24</v>
      </c>
      <c r="J999">
        <v>0</v>
      </c>
      <c r="K999" t="str">
        <f t="shared" si="30"/>
        <v>Young</v>
      </c>
      <c r="L999" t="str">
        <f t="shared" si="31"/>
        <v>Obese</v>
      </c>
    </row>
    <row r="1000" spans="1:12" x14ac:dyDescent="0.2">
      <c r="A1000">
        <v>999</v>
      </c>
      <c r="B1000">
        <v>4</v>
      </c>
      <c r="C1000">
        <v>142</v>
      </c>
      <c r="D1000">
        <v>86</v>
      </c>
      <c r="E1000">
        <v>0</v>
      </c>
      <c r="F1000">
        <v>0</v>
      </c>
      <c r="G1000">
        <v>44</v>
      </c>
      <c r="H1000">
        <v>0.64500000000000002</v>
      </c>
      <c r="I1000">
        <v>22</v>
      </c>
      <c r="J1000">
        <v>1</v>
      </c>
      <c r="K1000" t="str">
        <f t="shared" si="30"/>
        <v>Young</v>
      </c>
      <c r="L1000" t="str">
        <f t="shared" si="31"/>
        <v>Obese</v>
      </c>
    </row>
    <row r="1001" spans="1:12" x14ac:dyDescent="0.2">
      <c r="A1001">
        <v>1000</v>
      </c>
      <c r="B1001">
        <v>6</v>
      </c>
      <c r="C1001">
        <v>134</v>
      </c>
      <c r="D1001">
        <v>80</v>
      </c>
      <c r="E1001">
        <v>37</v>
      </c>
      <c r="F1001">
        <v>370</v>
      </c>
      <c r="G1001">
        <v>46.2</v>
      </c>
      <c r="H1001">
        <v>0.23799999999999999</v>
      </c>
      <c r="I1001">
        <v>46</v>
      </c>
      <c r="J1001">
        <v>1</v>
      </c>
      <c r="K1001" t="str">
        <f t="shared" si="30"/>
        <v>Senior</v>
      </c>
      <c r="L1001" t="str">
        <f t="shared" si="31"/>
        <v>Obese</v>
      </c>
    </row>
    <row r="1002" spans="1:12" x14ac:dyDescent="0.2">
      <c r="A1002">
        <v>1001</v>
      </c>
      <c r="B1002">
        <v>1</v>
      </c>
      <c r="C1002">
        <v>79</v>
      </c>
      <c r="D1002">
        <v>80</v>
      </c>
      <c r="E1002">
        <v>25</v>
      </c>
      <c r="F1002">
        <v>37</v>
      </c>
      <c r="G1002">
        <v>25.4</v>
      </c>
      <c r="H1002">
        <v>0.58299999999999996</v>
      </c>
      <c r="I1002">
        <v>22</v>
      </c>
      <c r="J1002">
        <v>0</v>
      </c>
      <c r="K1002" t="str">
        <f t="shared" si="30"/>
        <v>Young</v>
      </c>
      <c r="L1002" t="str">
        <f t="shared" si="31"/>
        <v>Overweight</v>
      </c>
    </row>
    <row r="1003" spans="1:12" x14ac:dyDescent="0.2">
      <c r="A1003">
        <v>1002</v>
      </c>
      <c r="B1003">
        <v>4</v>
      </c>
      <c r="C1003">
        <v>122</v>
      </c>
      <c r="D1003">
        <v>68</v>
      </c>
      <c r="E1003">
        <v>0</v>
      </c>
      <c r="F1003">
        <v>0</v>
      </c>
      <c r="G1003">
        <v>35</v>
      </c>
      <c r="H1003">
        <v>0.39400000000000002</v>
      </c>
      <c r="I1003">
        <v>29</v>
      </c>
      <c r="J1003">
        <v>0</v>
      </c>
      <c r="K1003" t="str">
        <f t="shared" si="30"/>
        <v>Young</v>
      </c>
      <c r="L1003" t="str">
        <f t="shared" si="31"/>
        <v>Obese</v>
      </c>
    </row>
    <row r="1004" spans="1:12" x14ac:dyDescent="0.2">
      <c r="A1004">
        <v>1003</v>
      </c>
      <c r="B1004">
        <v>3</v>
      </c>
      <c r="C1004">
        <v>74</v>
      </c>
      <c r="D1004">
        <v>68</v>
      </c>
      <c r="E1004">
        <v>28</v>
      </c>
      <c r="F1004">
        <v>45</v>
      </c>
      <c r="G1004">
        <v>29.7</v>
      </c>
      <c r="H1004">
        <v>0.29299999999999998</v>
      </c>
      <c r="I1004">
        <v>23</v>
      </c>
      <c r="J1004">
        <v>0</v>
      </c>
      <c r="K1004" t="str">
        <f t="shared" si="30"/>
        <v>Young</v>
      </c>
      <c r="L1004" t="str">
        <f t="shared" si="31"/>
        <v>Overweight</v>
      </c>
    </row>
    <row r="1005" spans="1:12" x14ac:dyDescent="0.2">
      <c r="A1005">
        <v>1004</v>
      </c>
      <c r="B1005">
        <v>4</v>
      </c>
      <c r="C1005">
        <v>171</v>
      </c>
      <c r="D1005">
        <v>72</v>
      </c>
      <c r="E1005">
        <v>0</v>
      </c>
      <c r="F1005">
        <v>0</v>
      </c>
      <c r="G1005">
        <v>43.6</v>
      </c>
      <c r="H1005">
        <v>0.47899999999999998</v>
      </c>
      <c r="I1005">
        <v>26</v>
      </c>
      <c r="J1005">
        <v>1</v>
      </c>
      <c r="K1005" t="str">
        <f t="shared" si="30"/>
        <v>Young</v>
      </c>
      <c r="L1005" t="str">
        <f t="shared" si="31"/>
        <v>Obese</v>
      </c>
    </row>
    <row r="1006" spans="1:12" x14ac:dyDescent="0.2">
      <c r="A1006">
        <v>1005</v>
      </c>
      <c r="B1006">
        <v>7</v>
      </c>
      <c r="C1006">
        <v>181</v>
      </c>
      <c r="D1006">
        <v>84</v>
      </c>
      <c r="E1006">
        <v>21</v>
      </c>
      <c r="F1006">
        <v>192</v>
      </c>
      <c r="G1006">
        <v>35.9</v>
      </c>
      <c r="H1006">
        <v>0.58599999999999997</v>
      </c>
      <c r="I1006">
        <v>51</v>
      </c>
      <c r="J1006">
        <v>1</v>
      </c>
      <c r="K1006" t="str">
        <f t="shared" si="30"/>
        <v>Senior</v>
      </c>
      <c r="L1006" t="str">
        <f t="shared" si="31"/>
        <v>Obese</v>
      </c>
    </row>
    <row r="1007" spans="1:12" x14ac:dyDescent="0.2">
      <c r="A1007">
        <v>1006</v>
      </c>
      <c r="B1007">
        <v>0</v>
      </c>
      <c r="C1007">
        <v>179</v>
      </c>
      <c r="D1007">
        <v>90</v>
      </c>
      <c r="E1007">
        <v>27</v>
      </c>
      <c r="F1007">
        <v>0</v>
      </c>
      <c r="G1007">
        <v>44.1</v>
      </c>
      <c r="H1007">
        <v>0.68600000000000005</v>
      </c>
      <c r="I1007">
        <v>23</v>
      </c>
      <c r="J1007">
        <v>1</v>
      </c>
      <c r="K1007" t="str">
        <f t="shared" si="30"/>
        <v>Young</v>
      </c>
      <c r="L1007" t="str">
        <f t="shared" si="31"/>
        <v>Obese</v>
      </c>
    </row>
    <row r="1008" spans="1:12" x14ac:dyDescent="0.2">
      <c r="A1008">
        <v>1007</v>
      </c>
      <c r="B1008">
        <v>9</v>
      </c>
      <c r="C1008">
        <v>164</v>
      </c>
      <c r="D1008">
        <v>84</v>
      </c>
      <c r="E1008">
        <v>21</v>
      </c>
      <c r="F1008">
        <v>0</v>
      </c>
      <c r="G1008">
        <v>30.8</v>
      </c>
      <c r="H1008">
        <v>0.83099999999999996</v>
      </c>
      <c r="I1008">
        <v>32</v>
      </c>
      <c r="J1008">
        <v>1</v>
      </c>
      <c r="K1008" t="str">
        <f t="shared" si="30"/>
        <v>Middle-Aged</v>
      </c>
      <c r="L1008" t="str">
        <f t="shared" si="31"/>
        <v>Obese</v>
      </c>
    </row>
    <row r="1009" spans="1:12" x14ac:dyDescent="0.2">
      <c r="A1009">
        <v>1008</v>
      </c>
      <c r="B1009">
        <v>0</v>
      </c>
      <c r="C1009">
        <v>104</v>
      </c>
      <c r="D1009">
        <v>76</v>
      </c>
      <c r="E1009">
        <v>0</v>
      </c>
      <c r="F1009">
        <v>0</v>
      </c>
      <c r="G1009">
        <v>18.399999999999999</v>
      </c>
      <c r="H1009">
        <v>0.58199999999999996</v>
      </c>
      <c r="I1009">
        <v>27</v>
      </c>
      <c r="J1009">
        <v>0</v>
      </c>
      <c r="K1009" t="str">
        <f t="shared" si="30"/>
        <v>Young</v>
      </c>
      <c r="L1009" t="str">
        <f t="shared" si="31"/>
        <v>Underweight</v>
      </c>
    </row>
    <row r="1010" spans="1:12" x14ac:dyDescent="0.2">
      <c r="A1010">
        <v>1009</v>
      </c>
      <c r="B1010">
        <v>1</v>
      </c>
      <c r="C1010">
        <v>91</v>
      </c>
      <c r="D1010">
        <v>64</v>
      </c>
      <c r="E1010">
        <v>24</v>
      </c>
      <c r="F1010">
        <v>0</v>
      </c>
      <c r="G1010">
        <v>29.2</v>
      </c>
      <c r="H1010">
        <v>0.192</v>
      </c>
      <c r="I1010">
        <v>21</v>
      </c>
      <c r="J1010">
        <v>0</v>
      </c>
      <c r="K1010" t="str">
        <f t="shared" si="30"/>
        <v>Young</v>
      </c>
      <c r="L1010" t="str">
        <f t="shared" si="31"/>
        <v>Overweight</v>
      </c>
    </row>
    <row r="1011" spans="1:12" x14ac:dyDescent="0.2">
      <c r="A1011">
        <v>1010</v>
      </c>
      <c r="B1011">
        <v>4</v>
      </c>
      <c r="C1011">
        <v>91</v>
      </c>
      <c r="D1011">
        <v>70</v>
      </c>
      <c r="E1011">
        <v>32</v>
      </c>
      <c r="F1011">
        <v>88</v>
      </c>
      <c r="G1011">
        <v>33.1</v>
      </c>
      <c r="H1011">
        <v>0.44600000000000001</v>
      </c>
      <c r="I1011">
        <v>22</v>
      </c>
      <c r="J1011">
        <v>0</v>
      </c>
      <c r="K1011" t="str">
        <f t="shared" si="30"/>
        <v>Young</v>
      </c>
      <c r="L1011" t="str">
        <f t="shared" si="31"/>
        <v>Obese</v>
      </c>
    </row>
    <row r="1012" spans="1:12" x14ac:dyDescent="0.2">
      <c r="A1012">
        <v>1011</v>
      </c>
      <c r="B1012">
        <v>3</v>
      </c>
      <c r="C1012">
        <v>139</v>
      </c>
      <c r="D1012">
        <v>54</v>
      </c>
      <c r="E1012">
        <v>0</v>
      </c>
      <c r="F1012">
        <v>0</v>
      </c>
      <c r="G1012">
        <v>25.6</v>
      </c>
      <c r="H1012">
        <v>0.40200000000000002</v>
      </c>
      <c r="I1012">
        <v>22</v>
      </c>
      <c r="J1012">
        <v>1</v>
      </c>
      <c r="K1012" t="str">
        <f t="shared" si="30"/>
        <v>Young</v>
      </c>
      <c r="L1012" t="str">
        <f t="shared" si="31"/>
        <v>Overweight</v>
      </c>
    </row>
    <row r="1013" spans="1:12" x14ac:dyDescent="0.2">
      <c r="A1013">
        <v>1012</v>
      </c>
      <c r="B1013">
        <v>6</v>
      </c>
      <c r="C1013">
        <v>119</v>
      </c>
      <c r="D1013">
        <v>50</v>
      </c>
      <c r="E1013">
        <v>22</v>
      </c>
      <c r="F1013">
        <v>176</v>
      </c>
      <c r="G1013">
        <v>27.1</v>
      </c>
      <c r="H1013">
        <v>1.3180000000000001</v>
      </c>
      <c r="I1013">
        <v>33</v>
      </c>
      <c r="J1013">
        <v>1</v>
      </c>
      <c r="K1013" t="str">
        <f t="shared" si="30"/>
        <v>Middle-Aged</v>
      </c>
      <c r="L1013" t="str">
        <f t="shared" si="31"/>
        <v>Overweight</v>
      </c>
    </row>
    <row r="1014" spans="1:12" x14ac:dyDescent="0.2">
      <c r="A1014">
        <v>1013</v>
      </c>
      <c r="B1014">
        <v>2</v>
      </c>
      <c r="C1014">
        <v>146</v>
      </c>
      <c r="D1014">
        <v>76</v>
      </c>
      <c r="E1014">
        <v>35</v>
      </c>
      <c r="F1014">
        <v>194</v>
      </c>
      <c r="G1014">
        <v>38.200000000000003</v>
      </c>
      <c r="H1014">
        <v>0.32900000000000001</v>
      </c>
      <c r="I1014">
        <v>29</v>
      </c>
      <c r="J1014">
        <v>0</v>
      </c>
      <c r="K1014" t="str">
        <f t="shared" si="30"/>
        <v>Young</v>
      </c>
      <c r="L1014" t="str">
        <f t="shared" si="31"/>
        <v>Obese</v>
      </c>
    </row>
    <row r="1015" spans="1:12" x14ac:dyDescent="0.2">
      <c r="A1015">
        <v>1014</v>
      </c>
      <c r="B1015">
        <v>9</v>
      </c>
      <c r="C1015">
        <v>184</v>
      </c>
      <c r="D1015">
        <v>85</v>
      </c>
      <c r="E1015">
        <v>15</v>
      </c>
      <c r="F1015">
        <v>0</v>
      </c>
      <c r="G1015">
        <v>30</v>
      </c>
      <c r="H1015">
        <v>1.2130000000000001</v>
      </c>
      <c r="I1015">
        <v>49</v>
      </c>
      <c r="J1015">
        <v>1</v>
      </c>
      <c r="K1015" t="str">
        <f t="shared" si="30"/>
        <v>Senior</v>
      </c>
      <c r="L1015" t="str">
        <f t="shared" si="31"/>
        <v>Obese</v>
      </c>
    </row>
    <row r="1016" spans="1:12" x14ac:dyDescent="0.2">
      <c r="A1016">
        <v>1015</v>
      </c>
      <c r="B1016">
        <v>10</v>
      </c>
      <c r="C1016">
        <v>122</v>
      </c>
      <c r="D1016">
        <v>68</v>
      </c>
      <c r="E1016">
        <v>0</v>
      </c>
      <c r="F1016">
        <v>0</v>
      </c>
      <c r="G1016">
        <v>31.2</v>
      </c>
      <c r="H1016">
        <v>0.25800000000000001</v>
      </c>
      <c r="I1016">
        <v>41</v>
      </c>
      <c r="J1016">
        <v>0</v>
      </c>
      <c r="K1016" t="str">
        <f t="shared" si="30"/>
        <v>Middle-Aged</v>
      </c>
      <c r="L1016" t="str">
        <f t="shared" si="31"/>
        <v>Obese</v>
      </c>
    </row>
    <row r="1017" spans="1:12" x14ac:dyDescent="0.2">
      <c r="A1017">
        <v>1016</v>
      </c>
      <c r="B1017">
        <v>0</v>
      </c>
      <c r="C1017">
        <v>165</v>
      </c>
      <c r="D1017">
        <v>90</v>
      </c>
      <c r="E1017">
        <v>33</v>
      </c>
      <c r="F1017">
        <v>680</v>
      </c>
      <c r="G1017">
        <v>52.3</v>
      </c>
      <c r="H1017">
        <v>0.42699999999999999</v>
      </c>
      <c r="I1017">
        <v>23</v>
      </c>
      <c r="J1017">
        <v>0</v>
      </c>
      <c r="K1017" t="str">
        <f t="shared" si="30"/>
        <v>Young</v>
      </c>
      <c r="L1017" t="str">
        <f t="shared" si="31"/>
        <v>Obese</v>
      </c>
    </row>
    <row r="1018" spans="1:12" x14ac:dyDescent="0.2">
      <c r="A1018">
        <v>1017</v>
      </c>
      <c r="B1018">
        <v>9</v>
      </c>
      <c r="C1018">
        <v>124</v>
      </c>
      <c r="D1018">
        <v>70</v>
      </c>
      <c r="E1018">
        <v>33</v>
      </c>
      <c r="F1018">
        <v>402</v>
      </c>
      <c r="G1018">
        <v>35.4</v>
      </c>
      <c r="H1018">
        <v>0.28199999999999997</v>
      </c>
      <c r="I1018">
        <v>34</v>
      </c>
      <c r="J1018">
        <v>0</v>
      </c>
      <c r="K1018" t="str">
        <f t="shared" si="30"/>
        <v>Middle-Aged</v>
      </c>
      <c r="L1018" t="str">
        <f t="shared" si="31"/>
        <v>Obese</v>
      </c>
    </row>
    <row r="1019" spans="1:12" x14ac:dyDescent="0.2">
      <c r="A1019">
        <v>1018</v>
      </c>
      <c r="B1019">
        <v>1</v>
      </c>
      <c r="C1019">
        <v>111</v>
      </c>
      <c r="D1019">
        <v>86</v>
      </c>
      <c r="E1019">
        <v>19</v>
      </c>
      <c r="F1019">
        <v>0</v>
      </c>
      <c r="G1019">
        <v>30.1</v>
      </c>
      <c r="H1019">
        <v>0.14299999999999999</v>
      </c>
      <c r="I1019">
        <v>23</v>
      </c>
      <c r="J1019">
        <v>0</v>
      </c>
      <c r="K1019" t="str">
        <f t="shared" si="30"/>
        <v>Young</v>
      </c>
      <c r="L1019" t="str">
        <f t="shared" si="31"/>
        <v>Obese</v>
      </c>
    </row>
    <row r="1020" spans="1:12" x14ac:dyDescent="0.2">
      <c r="A1020">
        <v>1019</v>
      </c>
      <c r="B1020">
        <v>9</v>
      </c>
      <c r="C1020">
        <v>106</v>
      </c>
      <c r="D1020">
        <v>52</v>
      </c>
      <c r="E1020">
        <v>0</v>
      </c>
      <c r="F1020">
        <v>0</v>
      </c>
      <c r="G1020">
        <v>31.2</v>
      </c>
      <c r="H1020">
        <v>0.38</v>
      </c>
      <c r="I1020">
        <v>42</v>
      </c>
      <c r="J1020">
        <v>0</v>
      </c>
      <c r="K1020" t="str">
        <f t="shared" si="30"/>
        <v>Middle-Aged</v>
      </c>
      <c r="L1020" t="str">
        <f t="shared" si="31"/>
        <v>Obese</v>
      </c>
    </row>
    <row r="1021" spans="1:12" x14ac:dyDescent="0.2">
      <c r="A1021">
        <v>1020</v>
      </c>
      <c r="B1021">
        <v>2</v>
      </c>
      <c r="C1021">
        <v>129</v>
      </c>
      <c r="D1021">
        <v>84</v>
      </c>
      <c r="E1021">
        <v>0</v>
      </c>
      <c r="F1021">
        <v>0</v>
      </c>
      <c r="G1021">
        <v>28</v>
      </c>
      <c r="H1021">
        <v>0.28399999999999997</v>
      </c>
      <c r="I1021">
        <v>27</v>
      </c>
      <c r="J1021">
        <v>0</v>
      </c>
      <c r="K1021" t="str">
        <f t="shared" si="30"/>
        <v>Young</v>
      </c>
      <c r="L1021" t="str">
        <f t="shared" si="31"/>
        <v>Overweight</v>
      </c>
    </row>
    <row r="1022" spans="1:12" x14ac:dyDescent="0.2">
      <c r="A1022">
        <v>1021</v>
      </c>
      <c r="B1022">
        <v>2</v>
      </c>
      <c r="C1022">
        <v>90</v>
      </c>
      <c r="D1022">
        <v>80</v>
      </c>
      <c r="E1022">
        <v>14</v>
      </c>
      <c r="F1022">
        <v>55</v>
      </c>
      <c r="G1022">
        <v>24.4</v>
      </c>
      <c r="H1022">
        <v>0.249</v>
      </c>
      <c r="I1022">
        <v>24</v>
      </c>
      <c r="J1022">
        <v>0</v>
      </c>
      <c r="K1022" t="str">
        <f t="shared" si="30"/>
        <v>Young</v>
      </c>
      <c r="L1022" t="str">
        <f t="shared" si="31"/>
        <v>Normal</v>
      </c>
    </row>
    <row r="1023" spans="1:12" x14ac:dyDescent="0.2">
      <c r="A1023">
        <v>1022</v>
      </c>
      <c r="B1023">
        <v>0</v>
      </c>
      <c r="C1023">
        <v>86</v>
      </c>
      <c r="D1023">
        <v>68</v>
      </c>
      <c r="E1023">
        <v>32</v>
      </c>
      <c r="F1023">
        <v>0</v>
      </c>
      <c r="G1023">
        <v>35.799999999999997</v>
      </c>
      <c r="H1023">
        <v>0.23799999999999999</v>
      </c>
      <c r="I1023">
        <v>25</v>
      </c>
      <c r="J1023">
        <v>0</v>
      </c>
      <c r="K1023" t="str">
        <f t="shared" si="30"/>
        <v>Young</v>
      </c>
      <c r="L1023" t="str">
        <f t="shared" si="31"/>
        <v>Obese</v>
      </c>
    </row>
    <row r="1024" spans="1:12" x14ac:dyDescent="0.2">
      <c r="A1024">
        <v>1023</v>
      </c>
      <c r="B1024">
        <v>12</v>
      </c>
      <c r="C1024">
        <v>92</v>
      </c>
      <c r="D1024">
        <v>62</v>
      </c>
      <c r="E1024">
        <v>7</v>
      </c>
      <c r="F1024">
        <v>258</v>
      </c>
      <c r="G1024">
        <v>27.6</v>
      </c>
      <c r="H1024">
        <v>0.92600000000000005</v>
      </c>
      <c r="I1024">
        <v>44</v>
      </c>
      <c r="J1024">
        <v>1</v>
      </c>
      <c r="K1024" t="str">
        <f t="shared" si="30"/>
        <v>Middle-Aged</v>
      </c>
      <c r="L1024" t="str">
        <f t="shared" si="31"/>
        <v>Overweight</v>
      </c>
    </row>
    <row r="1025" spans="1:12" x14ac:dyDescent="0.2">
      <c r="A1025">
        <v>1024</v>
      </c>
      <c r="B1025">
        <v>1</v>
      </c>
      <c r="C1025">
        <v>113</v>
      </c>
      <c r="D1025">
        <v>64</v>
      </c>
      <c r="E1025">
        <v>35</v>
      </c>
      <c r="F1025">
        <v>0</v>
      </c>
      <c r="G1025">
        <v>33.6</v>
      </c>
      <c r="H1025">
        <v>0.54300000000000004</v>
      </c>
      <c r="I1025">
        <v>21</v>
      </c>
      <c r="J1025">
        <v>1</v>
      </c>
      <c r="K1025" t="str">
        <f t="shared" si="30"/>
        <v>Young</v>
      </c>
      <c r="L1025" t="str">
        <f t="shared" si="31"/>
        <v>Obese</v>
      </c>
    </row>
    <row r="1026" spans="1:12" x14ac:dyDescent="0.2">
      <c r="A1026">
        <v>1025</v>
      </c>
      <c r="B1026">
        <v>3</v>
      </c>
      <c r="C1026">
        <v>111</v>
      </c>
      <c r="D1026">
        <v>56</v>
      </c>
      <c r="E1026">
        <v>39</v>
      </c>
      <c r="F1026">
        <v>0</v>
      </c>
      <c r="G1026">
        <v>30.1</v>
      </c>
      <c r="H1026">
        <v>0.55700000000000005</v>
      </c>
      <c r="I1026">
        <v>30</v>
      </c>
      <c r="J1026">
        <v>0</v>
      </c>
      <c r="K1026" t="str">
        <f t="shared" si="30"/>
        <v>Middle-Aged</v>
      </c>
      <c r="L1026" t="str">
        <f t="shared" si="31"/>
        <v>Obese</v>
      </c>
    </row>
    <row r="1027" spans="1:12" x14ac:dyDescent="0.2">
      <c r="A1027">
        <v>1026</v>
      </c>
      <c r="B1027">
        <v>2</v>
      </c>
      <c r="C1027">
        <v>114</v>
      </c>
      <c r="D1027">
        <v>68</v>
      </c>
      <c r="E1027">
        <v>22</v>
      </c>
      <c r="F1027">
        <v>0</v>
      </c>
      <c r="G1027">
        <v>28.7</v>
      </c>
      <c r="H1027">
        <v>9.1999999999999998E-2</v>
      </c>
      <c r="I1027">
        <v>25</v>
      </c>
      <c r="J1027">
        <v>0</v>
      </c>
      <c r="K1027" t="str">
        <f t="shared" ref="K1027:K1090" si="32">IF(I1027&lt;30, "Young", IF( I1027&lt;45, "Middle-Aged", "Senior"))</f>
        <v>Young</v>
      </c>
      <c r="L1027" t="str">
        <f t="shared" ref="L1027:L1090" si="33">IF(G1027&lt;18.5, "Underweight", IF(G1027&lt;25, "Normal", IF(G1027&lt;30, "Overweight", "Obese")))</f>
        <v>Overweight</v>
      </c>
    </row>
    <row r="1028" spans="1:12" x14ac:dyDescent="0.2">
      <c r="A1028">
        <v>1027</v>
      </c>
      <c r="B1028">
        <v>1</v>
      </c>
      <c r="C1028">
        <v>193</v>
      </c>
      <c r="D1028">
        <v>50</v>
      </c>
      <c r="E1028">
        <v>16</v>
      </c>
      <c r="F1028">
        <v>375</v>
      </c>
      <c r="G1028">
        <v>25.9</v>
      </c>
      <c r="H1028">
        <v>0.65500000000000003</v>
      </c>
      <c r="I1028">
        <v>24</v>
      </c>
      <c r="J1028">
        <v>0</v>
      </c>
      <c r="K1028" t="str">
        <f t="shared" si="32"/>
        <v>Young</v>
      </c>
      <c r="L1028" t="str">
        <f t="shared" si="33"/>
        <v>Overweight</v>
      </c>
    </row>
    <row r="1029" spans="1:12" x14ac:dyDescent="0.2">
      <c r="A1029">
        <v>1028</v>
      </c>
      <c r="B1029">
        <v>11</v>
      </c>
      <c r="C1029">
        <v>155</v>
      </c>
      <c r="D1029">
        <v>76</v>
      </c>
      <c r="E1029">
        <v>28</v>
      </c>
      <c r="F1029">
        <v>150</v>
      </c>
      <c r="G1029">
        <v>33.299999999999997</v>
      </c>
      <c r="H1029">
        <v>1.353</v>
      </c>
      <c r="I1029">
        <v>51</v>
      </c>
      <c r="J1029">
        <v>1</v>
      </c>
      <c r="K1029" t="str">
        <f t="shared" si="32"/>
        <v>Senior</v>
      </c>
      <c r="L1029" t="str">
        <f t="shared" si="33"/>
        <v>Obese</v>
      </c>
    </row>
    <row r="1030" spans="1:12" x14ac:dyDescent="0.2">
      <c r="A1030">
        <v>1029</v>
      </c>
      <c r="B1030">
        <v>3</v>
      </c>
      <c r="C1030">
        <v>191</v>
      </c>
      <c r="D1030">
        <v>68</v>
      </c>
      <c r="E1030">
        <v>15</v>
      </c>
      <c r="F1030">
        <v>130</v>
      </c>
      <c r="G1030">
        <v>30.9</v>
      </c>
      <c r="H1030">
        <v>0.29899999999999999</v>
      </c>
      <c r="I1030">
        <v>34</v>
      </c>
      <c r="J1030">
        <v>0</v>
      </c>
      <c r="K1030" t="str">
        <f t="shared" si="32"/>
        <v>Middle-Aged</v>
      </c>
      <c r="L1030" t="str">
        <f t="shared" si="33"/>
        <v>Obese</v>
      </c>
    </row>
    <row r="1031" spans="1:12" x14ac:dyDescent="0.2">
      <c r="A1031">
        <v>1030</v>
      </c>
      <c r="B1031">
        <v>3</v>
      </c>
      <c r="C1031">
        <v>141</v>
      </c>
      <c r="D1031">
        <v>121</v>
      </c>
      <c r="E1031">
        <v>0</v>
      </c>
      <c r="F1031">
        <v>0</v>
      </c>
      <c r="G1031">
        <v>30</v>
      </c>
      <c r="H1031">
        <v>0.76100000000000001</v>
      </c>
      <c r="I1031">
        <v>27</v>
      </c>
      <c r="J1031">
        <v>1</v>
      </c>
      <c r="K1031" t="str">
        <f t="shared" si="32"/>
        <v>Young</v>
      </c>
      <c r="L1031" t="str">
        <f t="shared" si="33"/>
        <v>Obese</v>
      </c>
    </row>
    <row r="1032" spans="1:12" x14ac:dyDescent="0.2">
      <c r="A1032">
        <v>1031</v>
      </c>
      <c r="B1032">
        <v>4</v>
      </c>
      <c r="C1032">
        <v>95</v>
      </c>
      <c r="D1032">
        <v>70</v>
      </c>
      <c r="E1032">
        <v>32</v>
      </c>
      <c r="F1032">
        <v>0</v>
      </c>
      <c r="G1032">
        <v>32.1</v>
      </c>
      <c r="H1032">
        <v>0.61199999999999999</v>
      </c>
      <c r="I1032">
        <v>24</v>
      </c>
      <c r="J1032">
        <v>0</v>
      </c>
      <c r="K1032" t="str">
        <f t="shared" si="32"/>
        <v>Young</v>
      </c>
      <c r="L1032" t="str">
        <f t="shared" si="33"/>
        <v>Obese</v>
      </c>
    </row>
    <row r="1033" spans="1:12" x14ac:dyDescent="0.2">
      <c r="A1033">
        <v>1032</v>
      </c>
      <c r="B1033">
        <v>3</v>
      </c>
      <c r="C1033">
        <v>142</v>
      </c>
      <c r="D1033">
        <v>80</v>
      </c>
      <c r="E1033">
        <v>15</v>
      </c>
      <c r="F1033">
        <v>0</v>
      </c>
      <c r="G1033">
        <v>32.4</v>
      </c>
      <c r="H1033">
        <v>0.2</v>
      </c>
      <c r="I1033">
        <v>63</v>
      </c>
      <c r="J1033">
        <v>0</v>
      </c>
      <c r="K1033" t="str">
        <f t="shared" si="32"/>
        <v>Senior</v>
      </c>
      <c r="L1033" t="str">
        <f t="shared" si="33"/>
        <v>Obese</v>
      </c>
    </row>
    <row r="1034" spans="1:12" x14ac:dyDescent="0.2">
      <c r="A1034">
        <v>1033</v>
      </c>
      <c r="B1034">
        <v>4</v>
      </c>
      <c r="C1034">
        <v>123</v>
      </c>
      <c r="D1034">
        <v>62</v>
      </c>
      <c r="E1034">
        <v>0</v>
      </c>
      <c r="F1034">
        <v>0</v>
      </c>
      <c r="G1034">
        <v>32</v>
      </c>
      <c r="H1034">
        <v>0.22600000000000001</v>
      </c>
      <c r="I1034">
        <v>35</v>
      </c>
      <c r="J1034">
        <v>1</v>
      </c>
      <c r="K1034" t="str">
        <f t="shared" si="32"/>
        <v>Middle-Aged</v>
      </c>
      <c r="L1034" t="str">
        <f t="shared" si="33"/>
        <v>Obese</v>
      </c>
    </row>
    <row r="1035" spans="1:12" x14ac:dyDescent="0.2">
      <c r="A1035">
        <v>1034</v>
      </c>
      <c r="B1035">
        <v>5</v>
      </c>
      <c r="C1035">
        <v>96</v>
      </c>
      <c r="D1035">
        <v>74</v>
      </c>
      <c r="E1035">
        <v>18</v>
      </c>
      <c r="F1035">
        <v>67</v>
      </c>
      <c r="G1035">
        <v>33.6</v>
      </c>
      <c r="H1035">
        <v>0.997</v>
      </c>
      <c r="I1035">
        <v>43</v>
      </c>
      <c r="J1035">
        <v>0</v>
      </c>
      <c r="K1035" t="str">
        <f t="shared" si="32"/>
        <v>Middle-Aged</v>
      </c>
      <c r="L1035" t="str">
        <f t="shared" si="33"/>
        <v>Obese</v>
      </c>
    </row>
    <row r="1036" spans="1:12" x14ac:dyDescent="0.2">
      <c r="A1036">
        <v>1035</v>
      </c>
      <c r="B1036">
        <v>0</v>
      </c>
      <c r="C1036">
        <v>138</v>
      </c>
      <c r="D1036">
        <v>121</v>
      </c>
      <c r="E1036">
        <v>0</v>
      </c>
      <c r="F1036">
        <v>0</v>
      </c>
      <c r="G1036">
        <v>36.299999999999997</v>
      </c>
      <c r="H1036">
        <v>0.93300000000000005</v>
      </c>
      <c r="I1036">
        <v>25</v>
      </c>
      <c r="J1036">
        <v>1</v>
      </c>
      <c r="K1036" t="str">
        <f t="shared" si="32"/>
        <v>Young</v>
      </c>
      <c r="L1036" t="str">
        <f t="shared" si="33"/>
        <v>Obese</v>
      </c>
    </row>
    <row r="1037" spans="1:12" x14ac:dyDescent="0.2">
      <c r="A1037">
        <v>1036</v>
      </c>
      <c r="B1037">
        <v>2</v>
      </c>
      <c r="C1037">
        <v>128</v>
      </c>
      <c r="D1037">
        <v>64</v>
      </c>
      <c r="E1037">
        <v>42</v>
      </c>
      <c r="F1037">
        <v>0</v>
      </c>
      <c r="G1037">
        <v>40</v>
      </c>
      <c r="H1037">
        <v>1.101</v>
      </c>
      <c r="I1037">
        <v>24</v>
      </c>
      <c r="J1037">
        <v>0</v>
      </c>
      <c r="K1037" t="str">
        <f t="shared" si="32"/>
        <v>Young</v>
      </c>
      <c r="L1037" t="str">
        <f t="shared" si="33"/>
        <v>Obese</v>
      </c>
    </row>
    <row r="1038" spans="1:12" x14ac:dyDescent="0.2">
      <c r="A1038">
        <v>1037</v>
      </c>
      <c r="B1038">
        <v>0</v>
      </c>
      <c r="C1038">
        <v>102</v>
      </c>
      <c r="D1038">
        <v>52</v>
      </c>
      <c r="E1038">
        <v>0</v>
      </c>
      <c r="F1038">
        <v>0</v>
      </c>
      <c r="G1038">
        <v>25.1</v>
      </c>
      <c r="H1038">
        <v>7.8E-2</v>
      </c>
      <c r="I1038">
        <v>21</v>
      </c>
      <c r="J1038">
        <v>0</v>
      </c>
      <c r="K1038" t="str">
        <f t="shared" si="32"/>
        <v>Young</v>
      </c>
      <c r="L1038" t="str">
        <f t="shared" si="33"/>
        <v>Overweight</v>
      </c>
    </row>
    <row r="1039" spans="1:12" x14ac:dyDescent="0.2">
      <c r="A1039">
        <v>1038</v>
      </c>
      <c r="B1039">
        <v>2</v>
      </c>
      <c r="C1039">
        <v>146</v>
      </c>
      <c r="D1039">
        <v>121</v>
      </c>
      <c r="E1039">
        <v>0</v>
      </c>
      <c r="F1039">
        <v>0</v>
      </c>
      <c r="G1039">
        <v>27.5</v>
      </c>
      <c r="H1039">
        <v>0.24</v>
      </c>
      <c r="I1039">
        <v>28</v>
      </c>
      <c r="J1039">
        <v>1</v>
      </c>
      <c r="K1039" t="str">
        <f t="shared" si="32"/>
        <v>Young</v>
      </c>
      <c r="L1039" t="str">
        <f t="shared" si="33"/>
        <v>Overweight</v>
      </c>
    </row>
    <row r="1040" spans="1:12" x14ac:dyDescent="0.2">
      <c r="A1040">
        <v>1039</v>
      </c>
      <c r="B1040">
        <v>10</v>
      </c>
      <c r="C1040">
        <v>101</v>
      </c>
      <c r="D1040">
        <v>86</v>
      </c>
      <c r="E1040">
        <v>37</v>
      </c>
      <c r="F1040">
        <v>0</v>
      </c>
      <c r="G1040">
        <v>45.6</v>
      </c>
      <c r="H1040">
        <v>1.1359999999999999</v>
      </c>
      <c r="I1040">
        <v>38</v>
      </c>
      <c r="J1040">
        <v>1</v>
      </c>
      <c r="K1040" t="str">
        <f t="shared" si="32"/>
        <v>Middle-Aged</v>
      </c>
      <c r="L1040" t="str">
        <f t="shared" si="33"/>
        <v>Obese</v>
      </c>
    </row>
    <row r="1041" spans="1:12" x14ac:dyDescent="0.2">
      <c r="A1041">
        <v>1040</v>
      </c>
      <c r="B1041">
        <v>2</v>
      </c>
      <c r="C1041">
        <v>108</v>
      </c>
      <c r="D1041">
        <v>62</v>
      </c>
      <c r="E1041">
        <v>32</v>
      </c>
      <c r="F1041">
        <v>56</v>
      </c>
      <c r="G1041">
        <v>25.2</v>
      </c>
      <c r="H1041">
        <v>0.128</v>
      </c>
      <c r="I1041">
        <v>21</v>
      </c>
      <c r="J1041">
        <v>0</v>
      </c>
      <c r="K1041" t="str">
        <f t="shared" si="32"/>
        <v>Young</v>
      </c>
      <c r="L1041" t="str">
        <f t="shared" si="33"/>
        <v>Overweight</v>
      </c>
    </row>
    <row r="1042" spans="1:12" x14ac:dyDescent="0.2">
      <c r="A1042">
        <v>1041</v>
      </c>
      <c r="B1042">
        <v>3</v>
      </c>
      <c r="C1042">
        <v>122</v>
      </c>
      <c r="D1042">
        <v>78</v>
      </c>
      <c r="E1042">
        <v>0</v>
      </c>
      <c r="F1042">
        <v>0</v>
      </c>
      <c r="G1042">
        <v>23</v>
      </c>
      <c r="H1042">
        <v>0.254</v>
      </c>
      <c r="I1042">
        <v>40</v>
      </c>
      <c r="J1042">
        <v>0</v>
      </c>
      <c r="K1042" t="str">
        <f t="shared" si="32"/>
        <v>Middle-Aged</v>
      </c>
      <c r="L1042" t="str">
        <f t="shared" si="33"/>
        <v>Normal</v>
      </c>
    </row>
    <row r="1043" spans="1:12" x14ac:dyDescent="0.2">
      <c r="A1043">
        <v>1042</v>
      </c>
      <c r="B1043">
        <v>1</v>
      </c>
      <c r="C1043">
        <v>71</v>
      </c>
      <c r="D1043">
        <v>78</v>
      </c>
      <c r="E1043">
        <v>50</v>
      </c>
      <c r="F1043">
        <v>45</v>
      </c>
      <c r="G1043">
        <v>33.200000000000003</v>
      </c>
      <c r="H1043">
        <v>0.42199999999999999</v>
      </c>
      <c r="I1043">
        <v>21</v>
      </c>
      <c r="J1043">
        <v>0</v>
      </c>
      <c r="K1043" t="str">
        <f t="shared" si="32"/>
        <v>Young</v>
      </c>
      <c r="L1043" t="str">
        <f t="shared" si="33"/>
        <v>Obese</v>
      </c>
    </row>
    <row r="1044" spans="1:12" x14ac:dyDescent="0.2">
      <c r="A1044">
        <v>1043</v>
      </c>
      <c r="B1044">
        <v>13</v>
      </c>
      <c r="C1044">
        <v>106</v>
      </c>
      <c r="D1044">
        <v>70</v>
      </c>
      <c r="E1044">
        <v>0</v>
      </c>
      <c r="F1044">
        <v>0</v>
      </c>
      <c r="G1044">
        <v>34.200000000000003</v>
      </c>
      <c r="H1044">
        <v>0.251</v>
      </c>
      <c r="I1044">
        <v>52</v>
      </c>
      <c r="J1044">
        <v>0</v>
      </c>
      <c r="K1044" t="str">
        <f t="shared" si="32"/>
        <v>Senior</v>
      </c>
      <c r="L1044" t="str">
        <f t="shared" si="33"/>
        <v>Obese</v>
      </c>
    </row>
    <row r="1045" spans="1:12" x14ac:dyDescent="0.2">
      <c r="A1045">
        <v>1044</v>
      </c>
      <c r="B1045">
        <v>2</v>
      </c>
      <c r="C1045">
        <v>100</v>
      </c>
      <c r="D1045">
        <v>70</v>
      </c>
      <c r="E1045">
        <v>52</v>
      </c>
      <c r="F1045">
        <v>57</v>
      </c>
      <c r="G1045">
        <v>40.5</v>
      </c>
      <c r="H1045">
        <v>0.67700000000000005</v>
      </c>
      <c r="I1045">
        <v>25</v>
      </c>
      <c r="J1045">
        <v>0</v>
      </c>
      <c r="K1045" t="str">
        <f t="shared" si="32"/>
        <v>Young</v>
      </c>
      <c r="L1045" t="str">
        <f t="shared" si="33"/>
        <v>Obese</v>
      </c>
    </row>
    <row r="1046" spans="1:12" x14ac:dyDescent="0.2">
      <c r="A1046">
        <v>1045</v>
      </c>
      <c r="B1046">
        <v>7</v>
      </c>
      <c r="C1046">
        <v>106</v>
      </c>
      <c r="D1046">
        <v>60</v>
      </c>
      <c r="E1046">
        <v>24</v>
      </c>
      <c r="F1046">
        <v>0</v>
      </c>
      <c r="G1046">
        <v>26.5</v>
      </c>
      <c r="H1046">
        <v>0.29599999999999999</v>
      </c>
      <c r="I1046">
        <v>29</v>
      </c>
      <c r="J1046">
        <v>1</v>
      </c>
      <c r="K1046" t="str">
        <f t="shared" si="32"/>
        <v>Young</v>
      </c>
      <c r="L1046" t="str">
        <f t="shared" si="33"/>
        <v>Overweight</v>
      </c>
    </row>
    <row r="1047" spans="1:12" x14ac:dyDescent="0.2">
      <c r="A1047">
        <v>1046</v>
      </c>
      <c r="B1047">
        <v>0</v>
      </c>
      <c r="C1047">
        <v>104</v>
      </c>
      <c r="D1047">
        <v>64</v>
      </c>
      <c r="E1047">
        <v>23</v>
      </c>
      <c r="F1047">
        <v>116</v>
      </c>
      <c r="G1047">
        <v>27.8</v>
      </c>
      <c r="H1047">
        <v>0.45400000000000001</v>
      </c>
      <c r="I1047">
        <v>23</v>
      </c>
      <c r="J1047">
        <v>0</v>
      </c>
      <c r="K1047" t="str">
        <f t="shared" si="32"/>
        <v>Young</v>
      </c>
      <c r="L1047" t="str">
        <f t="shared" si="33"/>
        <v>Overweight</v>
      </c>
    </row>
    <row r="1048" spans="1:12" x14ac:dyDescent="0.2">
      <c r="A1048">
        <v>1047</v>
      </c>
      <c r="B1048">
        <v>5</v>
      </c>
      <c r="C1048">
        <v>114</v>
      </c>
      <c r="D1048">
        <v>74</v>
      </c>
      <c r="E1048">
        <v>0</v>
      </c>
      <c r="F1048">
        <v>0</v>
      </c>
      <c r="G1048">
        <v>24.9</v>
      </c>
      <c r="H1048">
        <v>0.74399999999999999</v>
      </c>
      <c r="I1048">
        <v>57</v>
      </c>
      <c r="J1048">
        <v>0</v>
      </c>
      <c r="K1048" t="str">
        <f t="shared" si="32"/>
        <v>Senior</v>
      </c>
      <c r="L1048" t="str">
        <f t="shared" si="33"/>
        <v>Normal</v>
      </c>
    </row>
    <row r="1049" spans="1:12" x14ac:dyDescent="0.2">
      <c r="A1049">
        <v>1048</v>
      </c>
      <c r="B1049">
        <v>2</v>
      </c>
      <c r="C1049">
        <v>108</v>
      </c>
      <c r="D1049">
        <v>62</v>
      </c>
      <c r="E1049">
        <v>10</v>
      </c>
      <c r="F1049">
        <v>278</v>
      </c>
      <c r="G1049">
        <v>25.3</v>
      </c>
      <c r="H1049">
        <v>0.88100000000000001</v>
      </c>
      <c r="I1049">
        <v>22</v>
      </c>
      <c r="J1049">
        <v>0</v>
      </c>
      <c r="K1049" t="str">
        <f t="shared" si="32"/>
        <v>Young</v>
      </c>
      <c r="L1049" t="str">
        <f t="shared" si="33"/>
        <v>Overweight</v>
      </c>
    </row>
    <row r="1050" spans="1:12" x14ac:dyDescent="0.2">
      <c r="A1050">
        <v>1049</v>
      </c>
      <c r="B1050">
        <v>0</v>
      </c>
      <c r="C1050">
        <v>146</v>
      </c>
      <c r="D1050">
        <v>70</v>
      </c>
      <c r="E1050">
        <v>0</v>
      </c>
      <c r="F1050">
        <v>0</v>
      </c>
      <c r="G1050">
        <v>37.9</v>
      </c>
      <c r="H1050">
        <v>0.33400000000000002</v>
      </c>
      <c r="I1050">
        <v>28</v>
      </c>
      <c r="J1050">
        <v>1</v>
      </c>
      <c r="K1050" t="str">
        <f t="shared" si="32"/>
        <v>Young</v>
      </c>
      <c r="L1050" t="str">
        <f t="shared" si="33"/>
        <v>Obese</v>
      </c>
    </row>
    <row r="1051" spans="1:12" x14ac:dyDescent="0.2">
      <c r="A1051">
        <v>1050</v>
      </c>
      <c r="B1051">
        <v>10</v>
      </c>
      <c r="C1051">
        <v>129</v>
      </c>
      <c r="D1051">
        <v>76</v>
      </c>
      <c r="E1051">
        <v>28</v>
      </c>
      <c r="F1051">
        <v>122</v>
      </c>
      <c r="G1051">
        <v>35.9</v>
      </c>
      <c r="H1051">
        <v>0.28000000000000003</v>
      </c>
      <c r="I1051">
        <v>39</v>
      </c>
      <c r="J1051">
        <v>0</v>
      </c>
      <c r="K1051" t="str">
        <f t="shared" si="32"/>
        <v>Middle-Aged</v>
      </c>
      <c r="L1051" t="str">
        <f t="shared" si="33"/>
        <v>Obese</v>
      </c>
    </row>
    <row r="1052" spans="1:12" x14ac:dyDescent="0.2">
      <c r="A1052">
        <v>1051</v>
      </c>
      <c r="B1052">
        <v>7</v>
      </c>
      <c r="C1052">
        <v>133</v>
      </c>
      <c r="D1052">
        <v>88</v>
      </c>
      <c r="E1052">
        <v>15</v>
      </c>
      <c r="F1052">
        <v>155</v>
      </c>
      <c r="G1052">
        <v>32.4</v>
      </c>
      <c r="H1052">
        <v>0.26200000000000001</v>
      </c>
      <c r="I1052">
        <v>37</v>
      </c>
      <c r="J1052">
        <v>0</v>
      </c>
      <c r="K1052" t="str">
        <f t="shared" si="32"/>
        <v>Middle-Aged</v>
      </c>
      <c r="L1052" t="str">
        <f t="shared" si="33"/>
        <v>Obese</v>
      </c>
    </row>
    <row r="1053" spans="1:12" x14ac:dyDescent="0.2">
      <c r="A1053">
        <v>1052</v>
      </c>
      <c r="B1053">
        <v>7</v>
      </c>
      <c r="C1053">
        <v>161</v>
      </c>
      <c r="D1053">
        <v>86</v>
      </c>
      <c r="E1053">
        <v>0</v>
      </c>
      <c r="F1053">
        <v>0</v>
      </c>
      <c r="G1053">
        <v>30.4</v>
      </c>
      <c r="H1053">
        <v>0.16500000000000001</v>
      </c>
      <c r="I1053">
        <v>47</v>
      </c>
      <c r="J1053">
        <v>1</v>
      </c>
      <c r="K1053" t="str">
        <f t="shared" si="32"/>
        <v>Senior</v>
      </c>
      <c r="L1053" t="str">
        <f t="shared" si="33"/>
        <v>Obese</v>
      </c>
    </row>
    <row r="1054" spans="1:12" x14ac:dyDescent="0.2">
      <c r="A1054">
        <v>1053</v>
      </c>
      <c r="B1054">
        <v>2</v>
      </c>
      <c r="C1054">
        <v>108</v>
      </c>
      <c r="D1054">
        <v>80</v>
      </c>
      <c r="E1054">
        <v>0</v>
      </c>
      <c r="F1054">
        <v>0</v>
      </c>
      <c r="G1054">
        <v>27</v>
      </c>
      <c r="H1054">
        <v>0.25900000000000001</v>
      </c>
      <c r="I1054">
        <v>52</v>
      </c>
      <c r="J1054">
        <v>1</v>
      </c>
      <c r="K1054" t="str">
        <f t="shared" si="32"/>
        <v>Senior</v>
      </c>
      <c r="L1054" t="str">
        <f t="shared" si="33"/>
        <v>Overweight</v>
      </c>
    </row>
    <row r="1055" spans="1:12" x14ac:dyDescent="0.2">
      <c r="A1055">
        <v>1054</v>
      </c>
      <c r="B1055">
        <v>7</v>
      </c>
      <c r="C1055">
        <v>136</v>
      </c>
      <c r="D1055">
        <v>74</v>
      </c>
      <c r="E1055">
        <v>26</v>
      </c>
      <c r="F1055">
        <v>135</v>
      </c>
      <c r="G1055">
        <v>26</v>
      </c>
      <c r="H1055">
        <v>0.64700000000000002</v>
      </c>
      <c r="I1055">
        <v>51</v>
      </c>
      <c r="J1055">
        <v>0</v>
      </c>
      <c r="K1055" t="str">
        <f t="shared" si="32"/>
        <v>Senior</v>
      </c>
      <c r="L1055" t="str">
        <f t="shared" si="33"/>
        <v>Overweight</v>
      </c>
    </row>
    <row r="1056" spans="1:12" x14ac:dyDescent="0.2">
      <c r="A1056">
        <v>1055</v>
      </c>
      <c r="B1056">
        <v>5</v>
      </c>
      <c r="C1056">
        <v>155</v>
      </c>
      <c r="D1056">
        <v>84</v>
      </c>
      <c r="E1056">
        <v>44</v>
      </c>
      <c r="F1056">
        <v>545</v>
      </c>
      <c r="G1056">
        <v>38.700000000000003</v>
      </c>
      <c r="H1056">
        <v>0.61899999999999999</v>
      </c>
      <c r="I1056">
        <v>34</v>
      </c>
      <c r="J1056">
        <v>0</v>
      </c>
      <c r="K1056" t="str">
        <f t="shared" si="32"/>
        <v>Middle-Aged</v>
      </c>
      <c r="L1056" t="str">
        <f t="shared" si="33"/>
        <v>Obese</v>
      </c>
    </row>
    <row r="1057" spans="1:12" x14ac:dyDescent="0.2">
      <c r="A1057">
        <v>1056</v>
      </c>
      <c r="B1057">
        <v>1</v>
      </c>
      <c r="C1057">
        <v>119</v>
      </c>
      <c r="D1057">
        <v>86</v>
      </c>
      <c r="E1057">
        <v>39</v>
      </c>
      <c r="F1057">
        <v>220</v>
      </c>
      <c r="G1057">
        <v>45.6</v>
      </c>
      <c r="H1057">
        <v>0.80800000000000005</v>
      </c>
      <c r="I1057">
        <v>29</v>
      </c>
      <c r="J1057">
        <v>1</v>
      </c>
      <c r="K1057" t="str">
        <f t="shared" si="32"/>
        <v>Young</v>
      </c>
      <c r="L1057" t="str">
        <f t="shared" si="33"/>
        <v>Obese</v>
      </c>
    </row>
    <row r="1058" spans="1:12" x14ac:dyDescent="0.2">
      <c r="A1058">
        <v>1057</v>
      </c>
      <c r="B1058">
        <v>4</v>
      </c>
      <c r="C1058">
        <v>96</v>
      </c>
      <c r="D1058">
        <v>56</v>
      </c>
      <c r="E1058">
        <v>17</v>
      </c>
      <c r="F1058">
        <v>49</v>
      </c>
      <c r="G1058">
        <v>20.8</v>
      </c>
      <c r="H1058">
        <v>0.34</v>
      </c>
      <c r="I1058">
        <v>26</v>
      </c>
      <c r="J1058">
        <v>0</v>
      </c>
      <c r="K1058" t="str">
        <f t="shared" si="32"/>
        <v>Young</v>
      </c>
      <c r="L1058" t="str">
        <f t="shared" si="33"/>
        <v>Normal</v>
      </c>
    </row>
    <row r="1059" spans="1:12" x14ac:dyDescent="0.2">
      <c r="A1059">
        <v>1058</v>
      </c>
      <c r="B1059">
        <v>5</v>
      </c>
      <c r="C1059">
        <v>108</v>
      </c>
      <c r="D1059">
        <v>72</v>
      </c>
      <c r="E1059">
        <v>43</v>
      </c>
      <c r="F1059">
        <v>75</v>
      </c>
      <c r="G1059">
        <v>36.1</v>
      </c>
      <c r="H1059">
        <v>0.26300000000000001</v>
      </c>
      <c r="I1059">
        <v>33</v>
      </c>
      <c r="J1059">
        <v>0</v>
      </c>
      <c r="K1059" t="str">
        <f t="shared" si="32"/>
        <v>Middle-Aged</v>
      </c>
      <c r="L1059" t="str">
        <f t="shared" si="33"/>
        <v>Obese</v>
      </c>
    </row>
    <row r="1060" spans="1:12" x14ac:dyDescent="0.2">
      <c r="A1060">
        <v>1059</v>
      </c>
      <c r="B1060">
        <v>0</v>
      </c>
      <c r="C1060">
        <v>78</v>
      </c>
      <c r="D1060">
        <v>88</v>
      </c>
      <c r="E1060">
        <v>29</v>
      </c>
      <c r="F1060">
        <v>40</v>
      </c>
      <c r="G1060">
        <v>36.9</v>
      </c>
      <c r="H1060">
        <v>0.434</v>
      </c>
      <c r="I1060">
        <v>21</v>
      </c>
      <c r="J1060">
        <v>0</v>
      </c>
      <c r="K1060" t="str">
        <f t="shared" si="32"/>
        <v>Young</v>
      </c>
      <c r="L1060" t="str">
        <f t="shared" si="33"/>
        <v>Obese</v>
      </c>
    </row>
    <row r="1061" spans="1:12" x14ac:dyDescent="0.2">
      <c r="A1061">
        <v>1060</v>
      </c>
      <c r="B1061">
        <v>0</v>
      </c>
      <c r="C1061">
        <v>107</v>
      </c>
      <c r="D1061">
        <v>62</v>
      </c>
      <c r="E1061">
        <v>30</v>
      </c>
      <c r="F1061">
        <v>74</v>
      </c>
      <c r="G1061">
        <v>36.6</v>
      </c>
      <c r="H1061">
        <v>0.75700000000000001</v>
      </c>
      <c r="I1061">
        <v>25</v>
      </c>
      <c r="J1061">
        <v>1</v>
      </c>
      <c r="K1061" t="str">
        <f t="shared" si="32"/>
        <v>Young</v>
      </c>
      <c r="L1061" t="str">
        <f t="shared" si="33"/>
        <v>Obese</v>
      </c>
    </row>
    <row r="1062" spans="1:12" x14ac:dyDescent="0.2">
      <c r="A1062">
        <v>1061</v>
      </c>
      <c r="B1062">
        <v>2</v>
      </c>
      <c r="C1062">
        <v>128</v>
      </c>
      <c r="D1062">
        <v>78</v>
      </c>
      <c r="E1062">
        <v>37</v>
      </c>
      <c r="F1062">
        <v>182</v>
      </c>
      <c r="G1062">
        <v>43.3</v>
      </c>
      <c r="H1062">
        <v>1.224</v>
      </c>
      <c r="I1062">
        <v>31</v>
      </c>
      <c r="J1062">
        <v>1</v>
      </c>
      <c r="K1062" t="str">
        <f t="shared" si="32"/>
        <v>Middle-Aged</v>
      </c>
      <c r="L1062" t="str">
        <f t="shared" si="33"/>
        <v>Obese</v>
      </c>
    </row>
    <row r="1063" spans="1:12" x14ac:dyDescent="0.2">
      <c r="A1063">
        <v>1062</v>
      </c>
      <c r="B1063">
        <v>1</v>
      </c>
      <c r="C1063">
        <v>128</v>
      </c>
      <c r="D1063">
        <v>48</v>
      </c>
      <c r="E1063">
        <v>45</v>
      </c>
      <c r="F1063">
        <v>194</v>
      </c>
      <c r="G1063">
        <v>40.5</v>
      </c>
      <c r="H1063">
        <v>0.61299999999999999</v>
      </c>
      <c r="I1063">
        <v>24</v>
      </c>
      <c r="J1063">
        <v>1</v>
      </c>
      <c r="K1063" t="str">
        <f t="shared" si="32"/>
        <v>Young</v>
      </c>
      <c r="L1063" t="str">
        <f t="shared" si="33"/>
        <v>Obese</v>
      </c>
    </row>
    <row r="1064" spans="1:12" x14ac:dyDescent="0.2">
      <c r="A1064">
        <v>1063</v>
      </c>
      <c r="B1064">
        <v>0</v>
      </c>
      <c r="C1064">
        <v>161</v>
      </c>
      <c r="D1064">
        <v>50</v>
      </c>
      <c r="E1064">
        <v>0</v>
      </c>
      <c r="F1064">
        <v>0</v>
      </c>
      <c r="G1064">
        <v>21.9</v>
      </c>
      <c r="H1064">
        <v>0.254</v>
      </c>
      <c r="I1064">
        <v>65</v>
      </c>
      <c r="J1064">
        <v>0</v>
      </c>
      <c r="K1064" t="str">
        <f t="shared" si="32"/>
        <v>Senior</v>
      </c>
      <c r="L1064" t="str">
        <f t="shared" si="33"/>
        <v>Normal</v>
      </c>
    </row>
    <row r="1065" spans="1:12" x14ac:dyDescent="0.2">
      <c r="A1065">
        <v>1064</v>
      </c>
      <c r="B1065">
        <v>6</v>
      </c>
      <c r="C1065">
        <v>151</v>
      </c>
      <c r="D1065">
        <v>62</v>
      </c>
      <c r="E1065">
        <v>31</v>
      </c>
      <c r="F1065">
        <v>120</v>
      </c>
      <c r="G1065">
        <v>35.5</v>
      </c>
      <c r="H1065">
        <v>0.69199999999999995</v>
      </c>
      <c r="I1065">
        <v>28</v>
      </c>
      <c r="J1065">
        <v>0</v>
      </c>
      <c r="K1065" t="str">
        <f t="shared" si="32"/>
        <v>Young</v>
      </c>
      <c r="L1065" t="str">
        <f t="shared" si="33"/>
        <v>Obese</v>
      </c>
    </row>
    <row r="1066" spans="1:12" x14ac:dyDescent="0.2">
      <c r="A1066">
        <v>1065</v>
      </c>
      <c r="B1066">
        <v>2</v>
      </c>
      <c r="C1066">
        <v>146</v>
      </c>
      <c r="D1066">
        <v>70</v>
      </c>
      <c r="E1066">
        <v>38</v>
      </c>
      <c r="F1066">
        <v>360</v>
      </c>
      <c r="G1066">
        <v>28</v>
      </c>
      <c r="H1066">
        <v>0.33700000000000002</v>
      </c>
      <c r="I1066">
        <v>29</v>
      </c>
      <c r="J1066">
        <v>1</v>
      </c>
      <c r="K1066" t="str">
        <f t="shared" si="32"/>
        <v>Young</v>
      </c>
      <c r="L1066" t="str">
        <f t="shared" si="33"/>
        <v>Overweight</v>
      </c>
    </row>
    <row r="1067" spans="1:12" x14ac:dyDescent="0.2">
      <c r="A1067">
        <v>1066</v>
      </c>
      <c r="B1067">
        <v>0</v>
      </c>
      <c r="C1067">
        <v>126</v>
      </c>
      <c r="D1067">
        <v>84</v>
      </c>
      <c r="E1067">
        <v>29</v>
      </c>
      <c r="F1067">
        <v>215</v>
      </c>
      <c r="G1067">
        <v>30.7</v>
      </c>
      <c r="H1067">
        <v>0.52</v>
      </c>
      <c r="I1067">
        <v>24</v>
      </c>
      <c r="J1067">
        <v>0</v>
      </c>
      <c r="K1067" t="str">
        <f t="shared" si="32"/>
        <v>Young</v>
      </c>
      <c r="L1067" t="str">
        <f t="shared" si="33"/>
        <v>Obese</v>
      </c>
    </row>
    <row r="1068" spans="1:12" x14ac:dyDescent="0.2">
      <c r="A1068">
        <v>1067</v>
      </c>
      <c r="B1068">
        <v>14</v>
      </c>
      <c r="C1068">
        <v>100</v>
      </c>
      <c r="D1068">
        <v>78</v>
      </c>
      <c r="E1068">
        <v>25</v>
      </c>
      <c r="F1068">
        <v>184</v>
      </c>
      <c r="G1068">
        <v>36.6</v>
      </c>
      <c r="H1068">
        <v>0.41199999999999998</v>
      </c>
      <c r="I1068">
        <v>46</v>
      </c>
      <c r="J1068">
        <v>1</v>
      </c>
      <c r="K1068" t="str">
        <f t="shared" si="32"/>
        <v>Senior</v>
      </c>
      <c r="L1068" t="str">
        <f t="shared" si="33"/>
        <v>Obese</v>
      </c>
    </row>
    <row r="1069" spans="1:12" x14ac:dyDescent="0.2">
      <c r="A1069">
        <v>1068</v>
      </c>
      <c r="B1069">
        <v>8</v>
      </c>
      <c r="C1069">
        <v>112</v>
      </c>
      <c r="D1069">
        <v>72</v>
      </c>
      <c r="E1069">
        <v>0</v>
      </c>
      <c r="F1069">
        <v>0</v>
      </c>
      <c r="G1069">
        <v>23.6</v>
      </c>
      <c r="H1069">
        <v>0.84</v>
      </c>
      <c r="I1069">
        <v>58</v>
      </c>
      <c r="J1069">
        <v>0</v>
      </c>
      <c r="K1069" t="str">
        <f t="shared" si="32"/>
        <v>Senior</v>
      </c>
      <c r="L1069" t="str">
        <f t="shared" si="33"/>
        <v>Normal</v>
      </c>
    </row>
    <row r="1070" spans="1:12" x14ac:dyDescent="0.2">
      <c r="A1070">
        <v>1069</v>
      </c>
      <c r="B1070">
        <v>0</v>
      </c>
      <c r="C1070">
        <v>167</v>
      </c>
      <c r="D1070">
        <v>121</v>
      </c>
      <c r="E1070">
        <v>0</v>
      </c>
      <c r="F1070">
        <v>0</v>
      </c>
      <c r="G1070">
        <v>32.299999999999997</v>
      </c>
      <c r="H1070">
        <v>0.83899999999999997</v>
      </c>
      <c r="I1070">
        <v>30</v>
      </c>
      <c r="J1070">
        <v>1</v>
      </c>
      <c r="K1070" t="str">
        <f t="shared" si="32"/>
        <v>Middle-Aged</v>
      </c>
      <c r="L1070" t="str">
        <f t="shared" si="33"/>
        <v>Obese</v>
      </c>
    </row>
    <row r="1071" spans="1:12" x14ac:dyDescent="0.2">
      <c r="A1071">
        <v>1070</v>
      </c>
      <c r="B1071">
        <v>2</v>
      </c>
      <c r="C1071">
        <v>144</v>
      </c>
      <c r="D1071">
        <v>58</v>
      </c>
      <c r="E1071">
        <v>33</v>
      </c>
      <c r="F1071">
        <v>135</v>
      </c>
      <c r="G1071">
        <v>31.6</v>
      </c>
      <c r="H1071">
        <v>0.42199999999999999</v>
      </c>
      <c r="I1071">
        <v>25</v>
      </c>
      <c r="J1071">
        <v>1</v>
      </c>
      <c r="K1071" t="str">
        <f t="shared" si="32"/>
        <v>Young</v>
      </c>
      <c r="L1071" t="str">
        <f t="shared" si="33"/>
        <v>Obese</v>
      </c>
    </row>
    <row r="1072" spans="1:12" x14ac:dyDescent="0.2">
      <c r="A1072">
        <v>1071</v>
      </c>
      <c r="B1072">
        <v>5</v>
      </c>
      <c r="C1072">
        <v>77</v>
      </c>
      <c r="D1072">
        <v>82</v>
      </c>
      <c r="E1072">
        <v>41</v>
      </c>
      <c r="F1072">
        <v>42</v>
      </c>
      <c r="G1072">
        <v>35.799999999999997</v>
      </c>
      <c r="H1072">
        <v>0.156</v>
      </c>
      <c r="I1072">
        <v>35</v>
      </c>
      <c r="J1072">
        <v>0</v>
      </c>
      <c r="K1072" t="str">
        <f t="shared" si="32"/>
        <v>Middle-Aged</v>
      </c>
      <c r="L1072" t="str">
        <f t="shared" si="33"/>
        <v>Obese</v>
      </c>
    </row>
    <row r="1073" spans="1:12" x14ac:dyDescent="0.2">
      <c r="A1073">
        <v>1072</v>
      </c>
      <c r="B1073">
        <v>5</v>
      </c>
      <c r="C1073">
        <v>115</v>
      </c>
      <c r="D1073">
        <v>98</v>
      </c>
      <c r="E1073">
        <v>0</v>
      </c>
      <c r="F1073">
        <v>0</v>
      </c>
      <c r="G1073">
        <v>52.9</v>
      </c>
      <c r="H1073">
        <v>0.20899999999999999</v>
      </c>
      <c r="I1073">
        <v>28</v>
      </c>
      <c r="J1073">
        <v>1</v>
      </c>
      <c r="K1073" t="str">
        <f t="shared" si="32"/>
        <v>Young</v>
      </c>
      <c r="L1073" t="str">
        <f t="shared" si="33"/>
        <v>Obese</v>
      </c>
    </row>
    <row r="1074" spans="1:12" x14ac:dyDescent="0.2">
      <c r="A1074">
        <v>1073</v>
      </c>
      <c r="B1074">
        <v>3</v>
      </c>
      <c r="C1074">
        <v>150</v>
      </c>
      <c r="D1074">
        <v>76</v>
      </c>
      <c r="E1074">
        <v>0</v>
      </c>
      <c r="F1074">
        <v>0</v>
      </c>
      <c r="G1074">
        <v>21</v>
      </c>
      <c r="H1074">
        <v>0.20699999999999999</v>
      </c>
      <c r="I1074">
        <v>37</v>
      </c>
      <c r="J1074">
        <v>0</v>
      </c>
      <c r="K1074" t="str">
        <f t="shared" si="32"/>
        <v>Middle-Aged</v>
      </c>
      <c r="L1074" t="str">
        <f t="shared" si="33"/>
        <v>Normal</v>
      </c>
    </row>
    <row r="1075" spans="1:12" x14ac:dyDescent="0.2">
      <c r="A1075">
        <v>1074</v>
      </c>
      <c r="B1075">
        <v>2</v>
      </c>
      <c r="C1075">
        <v>120</v>
      </c>
      <c r="D1075">
        <v>76</v>
      </c>
      <c r="E1075">
        <v>37</v>
      </c>
      <c r="F1075">
        <v>105</v>
      </c>
      <c r="G1075">
        <v>39.700000000000003</v>
      </c>
      <c r="H1075">
        <v>0.215</v>
      </c>
      <c r="I1075">
        <v>29</v>
      </c>
      <c r="J1075">
        <v>0</v>
      </c>
      <c r="K1075" t="str">
        <f t="shared" si="32"/>
        <v>Young</v>
      </c>
      <c r="L1075" t="str">
        <f t="shared" si="33"/>
        <v>Obese</v>
      </c>
    </row>
    <row r="1076" spans="1:12" x14ac:dyDescent="0.2">
      <c r="A1076">
        <v>1075</v>
      </c>
      <c r="B1076">
        <v>10</v>
      </c>
      <c r="C1076">
        <v>161</v>
      </c>
      <c r="D1076">
        <v>68</v>
      </c>
      <c r="E1076">
        <v>23</v>
      </c>
      <c r="F1076">
        <v>132</v>
      </c>
      <c r="G1076">
        <v>25.5</v>
      </c>
      <c r="H1076">
        <v>0.32600000000000001</v>
      </c>
      <c r="I1076">
        <v>47</v>
      </c>
      <c r="J1076">
        <v>1</v>
      </c>
      <c r="K1076" t="str">
        <f t="shared" si="32"/>
        <v>Senior</v>
      </c>
      <c r="L1076" t="str">
        <f t="shared" si="33"/>
        <v>Overweight</v>
      </c>
    </row>
    <row r="1077" spans="1:12" x14ac:dyDescent="0.2">
      <c r="A1077">
        <v>1076</v>
      </c>
      <c r="B1077">
        <v>0</v>
      </c>
      <c r="C1077">
        <v>137</v>
      </c>
      <c r="D1077">
        <v>68</v>
      </c>
      <c r="E1077">
        <v>14</v>
      </c>
      <c r="F1077">
        <v>148</v>
      </c>
      <c r="G1077">
        <v>24.8</v>
      </c>
      <c r="H1077">
        <v>0.14299999999999999</v>
      </c>
      <c r="I1077">
        <v>21</v>
      </c>
      <c r="J1077">
        <v>0</v>
      </c>
      <c r="K1077" t="str">
        <f t="shared" si="32"/>
        <v>Young</v>
      </c>
      <c r="L1077" t="str">
        <f t="shared" si="33"/>
        <v>Normal</v>
      </c>
    </row>
    <row r="1078" spans="1:12" x14ac:dyDescent="0.2">
      <c r="A1078">
        <v>1077</v>
      </c>
      <c r="B1078">
        <v>0</v>
      </c>
      <c r="C1078">
        <v>128</v>
      </c>
      <c r="D1078">
        <v>68</v>
      </c>
      <c r="E1078">
        <v>19</v>
      </c>
      <c r="F1078">
        <v>180</v>
      </c>
      <c r="G1078">
        <v>30.5</v>
      </c>
      <c r="H1078">
        <v>1.391</v>
      </c>
      <c r="I1078">
        <v>25</v>
      </c>
      <c r="J1078">
        <v>1</v>
      </c>
      <c r="K1078" t="str">
        <f t="shared" si="32"/>
        <v>Young</v>
      </c>
      <c r="L1078" t="str">
        <f t="shared" si="33"/>
        <v>Obese</v>
      </c>
    </row>
    <row r="1079" spans="1:12" x14ac:dyDescent="0.2">
      <c r="A1079">
        <v>1078</v>
      </c>
      <c r="B1079">
        <v>2</v>
      </c>
      <c r="C1079">
        <v>124</v>
      </c>
      <c r="D1079">
        <v>68</v>
      </c>
      <c r="E1079">
        <v>28</v>
      </c>
      <c r="F1079">
        <v>205</v>
      </c>
      <c r="G1079">
        <v>32.9</v>
      </c>
      <c r="H1079">
        <v>0.875</v>
      </c>
      <c r="I1079">
        <v>30</v>
      </c>
      <c r="J1079">
        <v>1</v>
      </c>
      <c r="K1079" t="str">
        <f t="shared" si="32"/>
        <v>Middle-Aged</v>
      </c>
      <c r="L1079" t="str">
        <f t="shared" si="33"/>
        <v>Obese</v>
      </c>
    </row>
    <row r="1080" spans="1:12" x14ac:dyDescent="0.2">
      <c r="A1080">
        <v>1079</v>
      </c>
      <c r="B1080">
        <v>6</v>
      </c>
      <c r="C1080">
        <v>80</v>
      </c>
      <c r="D1080">
        <v>66</v>
      </c>
      <c r="E1080">
        <v>30</v>
      </c>
      <c r="F1080">
        <v>0</v>
      </c>
      <c r="G1080">
        <v>26.2</v>
      </c>
      <c r="H1080">
        <v>0.313</v>
      </c>
      <c r="I1080">
        <v>41</v>
      </c>
      <c r="J1080">
        <v>0</v>
      </c>
      <c r="K1080" t="str">
        <f t="shared" si="32"/>
        <v>Middle-Aged</v>
      </c>
      <c r="L1080" t="str">
        <f t="shared" si="33"/>
        <v>Overweight</v>
      </c>
    </row>
    <row r="1081" spans="1:12" x14ac:dyDescent="0.2">
      <c r="A1081">
        <v>1080</v>
      </c>
      <c r="B1081">
        <v>0</v>
      </c>
      <c r="C1081">
        <v>106</v>
      </c>
      <c r="D1081">
        <v>70</v>
      </c>
      <c r="E1081">
        <v>37</v>
      </c>
      <c r="F1081">
        <v>148</v>
      </c>
      <c r="G1081">
        <v>39.4</v>
      </c>
      <c r="H1081">
        <v>0.60499999999999998</v>
      </c>
      <c r="I1081">
        <v>22</v>
      </c>
      <c r="J1081">
        <v>0</v>
      </c>
      <c r="K1081" t="str">
        <f t="shared" si="32"/>
        <v>Young</v>
      </c>
      <c r="L1081" t="str">
        <f t="shared" si="33"/>
        <v>Obese</v>
      </c>
    </row>
    <row r="1082" spans="1:12" x14ac:dyDescent="0.2">
      <c r="A1082">
        <v>1081</v>
      </c>
      <c r="B1082">
        <v>2</v>
      </c>
      <c r="C1082">
        <v>155</v>
      </c>
      <c r="D1082">
        <v>74</v>
      </c>
      <c r="E1082">
        <v>17</v>
      </c>
      <c r="F1082">
        <v>96</v>
      </c>
      <c r="G1082">
        <v>26.6</v>
      </c>
      <c r="H1082">
        <v>0.433</v>
      </c>
      <c r="I1082">
        <v>27</v>
      </c>
      <c r="J1082">
        <v>1</v>
      </c>
      <c r="K1082" t="str">
        <f t="shared" si="32"/>
        <v>Young</v>
      </c>
      <c r="L1082" t="str">
        <f t="shared" si="33"/>
        <v>Overweight</v>
      </c>
    </row>
    <row r="1083" spans="1:12" x14ac:dyDescent="0.2">
      <c r="A1083">
        <v>1082</v>
      </c>
      <c r="B1083">
        <v>3</v>
      </c>
      <c r="C1083">
        <v>113</v>
      </c>
      <c r="D1083">
        <v>50</v>
      </c>
      <c r="E1083">
        <v>10</v>
      </c>
      <c r="F1083">
        <v>85</v>
      </c>
      <c r="G1083">
        <v>29.5</v>
      </c>
      <c r="H1083">
        <v>0.626</v>
      </c>
      <c r="I1083">
        <v>25</v>
      </c>
      <c r="J1083">
        <v>0</v>
      </c>
      <c r="K1083" t="str">
        <f t="shared" si="32"/>
        <v>Young</v>
      </c>
      <c r="L1083" t="str">
        <f t="shared" si="33"/>
        <v>Overweight</v>
      </c>
    </row>
    <row r="1084" spans="1:12" x14ac:dyDescent="0.2">
      <c r="A1084">
        <v>1083</v>
      </c>
      <c r="B1084">
        <v>7</v>
      </c>
      <c r="C1084">
        <v>109</v>
      </c>
      <c r="D1084">
        <v>80</v>
      </c>
      <c r="E1084">
        <v>31</v>
      </c>
      <c r="F1084">
        <v>0</v>
      </c>
      <c r="G1084">
        <v>35.9</v>
      </c>
      <c r="H1084">
        <v>1.127</v>
      </c>
      <c r="I1084">
        <v>43</v>
      </c>
      <c r="J1084">
        <v>1</v>
      </c>
      <c r="K1084" t="str">
        <f t="shared" si="32"/>
        <v>Middle-Aged</v>
      </c>
      <c r="L1084" t="str">
        <f t="shared" si="33"/>
        <v>Obese</v>
      </c>
    </row>
    <row r="1085" spans="1:12" x14ac:dyDescent="0.2">
      <c r="A1085">
        <v>1084</v>
      </c>
      <c r="B1085">
        <v>2</v>
      </c>
      <c r="C1085">
        <v>112</v>
      </c>
      <c r="D1085">
        <v>68</v>
      </c>
      <c r="E1085">
        <v>22</v>
      </c>
      <c r="F1085">
        <v>94</v>
      </c>
      <c r="G1085">
        <v>34.1</v>
      </c>
      <c r="H1085">
        <v>0.315</v>
      </c>
      <c r="I1085">
        <v>26</v>
      </c>
      <c r="J1085">
        <v>0</v>
      </c>
      <c r="K1085" t="str">
        <f t="shared" si="32"/>
        <v>Young</v>
      </c>
      <c r="L1085" t="str">
        <f t="shared" si="33"/>
        <v>Obese</v>
      </c>
    </row>
    <row r="1086" spans="1:12" x14ac:dyDescent="0.2">
      <c r="A1086">
        <v>1085</v>
      </c>
      <c r="B1086">
        <v>3</v>
      </c>
      <c r="C1086">
        <v>99</v>
      </c>
      <c r="D1086">
        <v>80</v>
      </c>
      <c r="E1086">
        <v>11</v>
      </c>
      <c r="F1086">
        <v>64</v>
      </c>
      <c r="G1086">
        <v>19.3</v>
      </c>
      <c r="H1086">
        <v>0.28399999999999997</v>
      </c>
      <c r="I1086">
        <v>30</v>
      </c>
      <c r="J1086">
        <v>0</v>
      </c>
      <c r="K1086" t="str">
        <f t="shared" si="32"/>
        <v>Middle-Aged</v>
      </c>
      <c r="L1086" t="str">
        <f t="shared" si="33"/>
        <v>Normal</v>
      </c>
    </row>
    <row r="1087" spans="1:12" x14ac:dyDescent="0.2">
      <c r="A1087">
        <v>1086</v>
      </c>
      <c r="B1087">
        <v>3</v>
      </c>
      <c r="C1087">
        <v>182</v>
      </c>
      <c r="D1087">
        <v>74</v>
      </c>
      <c r="E1087">
        <v>0</v>
      </c>
      <c r="F1087">
        <v>0</v>
      </c>
      <c r="G1087">
        <v>30.5</v>
      </c>
      <c r="H1087">
        <v>0.34499999999999997</v>
      </c>
      <c r="I1087">
        <v>29</v>
      </c>
      <c r="J1087">
        <v>1</v>
      </c>
      <c r="K1087" t="str">
        <f t="shared" si="32"/>
        <v>Young</v>
      </c>
      <c r="L1087" t="str">
        <f t="shared" si="33"/>
        <v>Obese</v>
      </c>
    </row>
    <row r="1088" spans="1:12" x14ac:dyDescent="0.2">
      <c r="A1088">
        <v>1087</v>
      </c>
      <c r="B1088">
        <v>3</v>
      </c>
      <c r="C1088">
        <v>115</v>
      </c>
      <c r="D1088">
        <v>66</v>
      </c>
      <c r="E1088">
        <v>39</v>
      </c>
      <c r="F1088">
        <v>140</v>
      </c>
      <c r="G1088">
        <v>38.1</v>
      </c>
      <c r="H1088">
        <v>0.15</v>
      </c>
      <c r="I1088">
        <v>28</v>
      </c>
      <c r="J1088">
        <v>0</v>
      </c>
      <c r="K1088" t="str">
        <f t="shared" si="32"/>
        <v>Young</v>
      </c>
      <c r="L1088" t="str">
        <f t="shared" si="33"/>
        <v>Obese</v>
      </c>
    </row>
    <row r="1089" spans="1:12" x14ac:dyDescent="0.2">
      <c r="A1089">
        <v>1088</v>
      </c>
      <c r="B1089">
        <v>6</v>
      </c>
      <c r="C1089">
        <v>194</v>
      </c>
      <c r="D1089">
        <v>78</v>
      </c>
      <c r="E1089">
        <v>0</v>
      </c>
      <c r="F1089">
        <v>0</v>
      </c>
      <c r="G1089">
        <v>23.5</v>
      </c>
      <c r="H1089">
        <v>0.129</v>
      </c>
      <c r="I1089">
        <v>59</v>
      </c>
      <c r="J1089">
        <v>1</v>
      </c>
      <c r="K1089" t="str">
        <f t="shared" si="32"/>
        <v>Senior</v>
      </c>
      <c r="L1089" t="str">
        <f t="shared" si="33"/>
        <v>Normal</v>
      </c>
    </row>
    <row r="1090" spans="1:12" x14ac:dyDescent="0.2">
      <c r="A1090">
        <v>1089</v>
      </c>
      <c r="B1090">
        <v>4</v>
      </c>
      <c r="C1090">
        <v>129</v>
      </c>
      <c r="D1090">
        <v>60</v>
      </c>
      <c r="E1090">
        <v>12</v>
      </c>
      <c r="F1090">
        <v>231</v>
      </c>
      <c r="G1090">
        <v>27.5</v>
      </c>
      <c r="H1090">
        <v>0.52700000000000002</v>
      </c>
      <c r="I1090">
        <v>31</v>
      </c>
      <c r="J1090">
        <v>0</v>
      </c>
      <c r="K1090" t="str">
        <f t="shared" si="32"/>
        <v>Middle-Aged</v>
      </c>
      <c r="L1090" t="str">
        <f t="shared" si="33"/>
        <v>Overweight</v>
      </c>
    </row>
    <row r="1091" spans="1:12" x14ac:dyDescent="0.2">
      <c r="A1091">
        <v>1090</v>
      </c>
      <c r="B1091">
        <v>3</v>
      </c>
      <c r="C1091">
        <v>112</v>
      </c>
      <c r="D1091">
        <v>74</v>
      </c>
      <c r="E1091">
        <v>30</v>
      </c>
      <c r="F1091">
        <v>0</v>
      </c>
      <c r="G1091">
        <v>31.6</v>
      </c>
      <c r="H1091">
        <v>0.19700000000000001</v>
      </c>
      <c r="I1091">
        <v>25</v>
      </c>
      <c r="J1091">
        <v>1</v>
      </c>
      <c r="K1091" t="str">
        <f t="shared" ref="K1091:K1154" si="34">IF(I1091&lt;30, "Young", IF( I1091&lt;45, "Middle-Aged", "Senior"))</f>
        <v>Young</v>
      </c>
      <c r="L1091" t="str">
        <f t="shared" ref="L1091:L1154" si="35">IF(G1091&lt;18.5, "Underweight", IF(G1091&lt;25, "Normal", IF(G1091&lt;30, "Overweight", "Obese")))</f>
        <v>Obese</v>
      </c>
    </row>
    <row r="1092" spans="1:12" x14ac:dyDescent="0.2">
      <c r="A1092">
        <v>1091</v>
      </c>
      <c r="B1092">
        <v>0</v>
      </c>
      <c r="C1092">
        <v>124</v>
      </c>
      <c r="D1092">
        <v>70</v>
      </c>
      <c r="E1092">
        <v>20</v>
      </c>
      <c r="F1092">
        <v>0</v>
      </c>
      <c r="G1092">
        <v>27.4</v>
      </c>
      <c r="H1092">
        <v>0.254</v>
      </c>
      <c r="I1092">
        <v>36</v>
      </c>
      <c r="J1092">
        <v>1</v>
      </c>
      <c r="K1092" t="str">
        <f t="shared" si="34"/>
        <v>Middle-Aged</v>
      </c>
      <c r="L1092" t="str">
        <f t="shared" si="35"/>
        <v>Overweight</v>
      </c>
    </row>
    <row r="1093" spans="1:12" x14ac:dyDescent="0.2">
      <c r="A1093">
        <v>1092</v>
      </c>
      <c r="B1093">
        <v>13</v>
      </c>
      <c r="C1093">
        <v>152</v>
      </c>
      <c r="D1093">
        <v>90</v>
      </c>
      <c r="E1093">
        <v>33</v>
      </c>
      <c r="F1093">
        <v>29</v>
      </c>
      <c r="G1093">
        <v>26.8</v>
      </c>
      <c r="H1093">
        <v>0.73099999999999998</v>
      </c>
      <c r="I1093">
        <v>43</v>
      </c>
      <c r="J1093">
        <v>1</v>
      </c>
      <c r="K1093" t="str">
        <f t="shared" si="34"/>
        <v>Middle-Aged</v>
      </c>
      <c r="L1093" t="str">
        <f t="shared" si="35"/>
        <v>Overweight</v>
      </c>
    </row>
    <row r="1094" spans="1:12" x14ac:dyDescent="0.2">
      <c r="A1094">
        <v>1093</v>
      </c>
      <c r="B1094">
        <v>2</v>
      </c>
      <c r="C1094">
        <v>112</v>
      </c>
      <c r="D1094">
        <v>75</v>
      </c>
      <c r="E1094">
        <v>32</v>
      </c>
      <c r="F1094">
        <v>0</v>
      </c>
      <c r="G1094">
        <v>35.700000000000003</v>
      </c>
      <c r="H1094">
        <v>0.14799999999999999</v>
      </c>
      <c r="I1094">
        <v>21</v>
      </c>
      <c r="J1094">
        <v>0</v>
      </c>
      <c r="K1094" t="str">
        <f t="shared" si="34"/>
        <v>Young</v>
      </c>
      <c r="L1094" t="str">
        <f t="shared" si="35"/>
        <v>Obese</v>
      </c>
    </row>
    <row r="1095" spans="1:12" x14ac:dyDescent="0.2">
      <c r="A1095">
        <v>1094</v>
      </c>
      <c r="B1095">
        <v>1</v>
      </c>
      <c r="C1095">
        <v>157</v>
      </c>
      <c r="D1095">
        <v>72</v>
      </c>
      <c r="E1095">
        <v>21</v>
      </c>
      <c r="F1095">
        <v>168</v>
      </c>
      <c r="G1095">
        <v>25.6</v>
      </c>
      <c r="H1095">
        <v>0.123</v>
      </c>
      <c r="I1095">
        <v>24</v>
      </c>
      <c r="J1095">
        <v>0</v>
      </c>
      <c r="K1095" t="str">
        <f t="shared" si="34"/>
        <v>Young</v>
      </c>
      <c r="L1095" t="str">
        <f t="shared" si="35"/>
        <v>Overweight</v>
      </c>
    </row>
    <row r="1096" spans="1:12" x14ac:dyDescent="0.2">
      <c r="A1096">
        <v>1095</v>
      </c>
      <c r="B1096">
        <v>1</v>
      </c>
      <c r="C1096">
        <v>122</v>
      </c>
      <c r="D1096">
        <v>64</v>
      </c>
      <c r="E1096">
        <v>32</v>
      </c>
      <c r="F1096">
        <v>156</v>
      </c>
      <c r="G1096">
        <v>35.1</v>
      </c>
      <c r="H1096">
        <v>0.69199999999999995</v>
      </c>
      <c r="I1096">
        <v>30</v>
      </c>
      <c r="J1096">
        <v>1</v>
      </c>
      <c r="K1096" t="str">
        <f t="shared" si="34"/>
        <v>Middle-Aged</v>
      </c>
      <c r="L1096" t="str">
        <f t="shared" si="35"/>
        <v>Obese</v>
      </c>
    </row>
    <row r="1097" spans="1:12" x14ac:dyDescent="0.2">
      <c r="A1097">
        <v>1096</v>
      </c>
      <c r="B1097">
        <v>10</v>
      </c>
      <c r="C1097">
        <v>179</v>
      </c>
      <c r="D1097">
        <v>70</v>
      </c>
      <c r="E1097">
        <v>0</v>
      </c>
      <c r="F1097">
        <v>0</v>
      </c>
      <c r="G1097">
        <v>35.1</v>
      </c>
      <c r="H1097">
        <v>0.2</v>
      </c>
      <c r="I1097">
        <v>37</v>
      </c>
      <c r="J1097">
        <v>0</v>
      </c>
      <c r="K1097" t="str">
        <f t="shared" si="34"/>
        <v>Middle-Aged</v>
      </c>
      <c r="L1097" t="str">
        <f t="shared" si="35"/>
        <v>Obese</v>
      </c>
    </row>
    <row r="1098" spans="1:12" x14ac:dyDescent="0.2">
      <c r="A1098">
        <v>1097</v>
      </c>
      <c r="B1098">
        <v>2</v>
      </c>
      <c r="C1098">
        <v>102</v>
      </c>
      <c r="D1098">
        <v>86</v>
      </c>
      <c r="E1098">
        <v>36</v>
      </c>
      <c r="F1098">
        <v>120</v>
      </c>
      <c r="G1098">
        <v>45.5</v>
      </c>
      <c r="H1098">
        <v>0.127</v>
      </c>
      <c r="I1098">
        <v>23</v>
      </c>
      <c r="J1098">
        <v>1</v>
      </c>
      <c r="K1098" t="str">
        <f t="shared" si="34"/>
        <v>Young</v>
      </c>
      <c r="L1098" t="str">
        <f t="shared" si="35"/>
        <v>Obese</v>
      </c>
    </row>
    <row r="1099" spans="1:12" x14ac:dyDescent="0.2">
      <c r="A1099">
        <v>1098</v>
      </c>
      <c r="B1099">
        <v>6</v>
      </c>
      <c r="C1099">
        <v>105</v>
      </c>
      <c r="D1099">
        <v>70</v>
      </c>
      <c r="E1099">
        <v>32</v>
      </c>
      <c r="F1099">
        <v>68</v>
      </c>
      <c r="G1099">
        <v>30.8</v>
      </c>
      <c r="H1099">
        <v>0.122</v>
      </c>
      <c r="I1099">
        <v>37</v>
      </c>
      <c r="J1099">
        <v>0</v>
      </c>
      <c r="K1099" t="str">
        <f t="shared" si="34"/>
        <v>Middle-Aged</v>
      </c>
      <c r="L1099" t="str">
        <f t="shared" si="35"/>
        <v>Obese</v>
      </c>
    </row>
    <row r="1100" spans="1:12" x14ac:dyDescent="0.2">
      <c r="A1100">
        <v>1099</v>
      </c>
      <c r="B1100">
        <v>8</v>
      </c>
      <c r="C1100">
        <v>118</v>
      </c>
      <c r="D1100">
        <v>72</v>
      </c>
      <c r="E1100">
        <v>19</v>
      </c>
      <c r="F1100">
        <v>0</v>
      </c>
      <c r="G1100">
        <v>23.1</v>
      </c>
      <c r="H1100">
        <v>1.476</v>
      </c>
      <c r="I1100">
        <v>46</v>
      </c>
      <c r="J1100">
        <v>0</v>
      </c>
      <c r="K1100" t="str">
        <f t="shared" si="34"/>
        <v>Senior</v>
      </c>
      <c r="L1100" t="str">
        <f t="shared" si="35"/>
        <v>Normal</v>
      </c>
    </row>
    <row r="1101" spans="1:12" x14ac:dyDescent="0.2">
      <c r="A1101">
        <v>1100</v>
      </c>
      <c r="B1101">
        <v>2</v>
      </c>
      <c r="C1101">
        <v>87</v>
      </c>
      <c r="D1101">
        <v>58</v>
      </c>
      <c r="E1101">
        <v>16</v>
      </c>
      <c r="F1101">
        <v>52</v>
      </c>
      <c r="G1101">
        <v>32.700000000000003</v>
      </c>
      <c r="H1101">
        <v>0.16600000000000001</v>
      </c>
      <c r="I1101">
        <v>25</v>
      </c>
      <c r="J1101">
        <v>0</v>
      </c>
      <c r="K1101" t="str">
        <f t="shared" si="34"/>
        <v>Young</v>
      </c>
      <c r="L1101" t="str">
        <f t="shared" si="35"/>
        <v>Obese</v>
      </c>
    </row>
    <row r="1102" spans="1:12" x14ac:dyDescent="0.2">
      <c r="A1102">
        <v>1101</v>
      </c>
      <c r="B1102">
        <v>1</v>
      </c>
      <c r="C1102">
        <v>180</v>
      </c>
      <c r="D1102">
        <v>121</v>
      </c>
      <c r="E1102">
        <v>0</v>
      </c>
      <c r="F1102">
        <v>0</v>
      </c>
      <c r="G1102">
        <v>43.3</v>
      </c>
      <c r="H1102">
        <v>0.28199999999999997</v>
      </c>
      <c r="I1102">
        <v>41</v>
      </c>
      <c r="J1102">
        <v>1</v>
      </c>
      <c r="K1102" t="str">
        <f t="shared" si="34"/>
        <v>Middle-Aged</v>
      </c>
      <c r="L1102" t="str">
        <f t="shared" si="35"/>
        <v>Obese</v>
      </c>
    </row>
    <row r="1103" spans="1:12" x14ac:dyDescent="0.2">
      <c r="A1103">
        <v>1102</v>
      </c>
      <c r="B1103">
        <v>12</v>
      </c>
      <c r="C1103">
        <v>106</v>
      </c>
      <c r="D1103">
        <v>80</v>
      </c>
      <c r="E1103">
        <v>0</v>
      </c>
      <c r="F1103">
        <v>0</v>
      </c>
      <c r="G1103">
        <v>23.6</v>
      </c>
      <c r="H1103">
        <v>0.13700000000000001</v>
      </c>
      <c r="I1103">
        <v>44</v>
      </c>
      <c r="J1103">
        <v>0</v>
      </c>
      <c r="K1103" t="str">
        <f t="shared" si="34"/>
        <v>Middle-Aged</v>
      </c>
      <c r="L1103" t="str">
        <f t="shared" si="35"/>
        <v>Normal</v>
      </c>
    </row>
    <row r="1104" spans="1:12" x14ac:dyDescent="0.2">
      <c r="A1104">
        <v>1103</v>
      </c>
      <c r="B1104">
        <v>1</v>
      </c>
      <c r="C1104">
        <v>95</v>
      </c>
      <c r="D1104">
        <v>60</v>
      </c>
      <c r="E1104">
        <v>18</v>
      </c>
      <c r="F1104">
        <v>58</v>
      </c>
      <c r="G1104">
        <v>23.9</v>
      </c>
      <c r="H1104">
        <v>0.26</v>
      </c>
      <c r="I1104">
        <v>22</v>
      </c>
      <c r="J1104">
        <v>0</v>
      </c>
      <c r="K1104" t="str">
        <f t="shared" si="34"/>
        <v>Young</v>
      </c>
      <c r="L1104" t="str">
        <f t="shared" si="35"/>
        <v>Normal</v>
      </c>
    </row>
    <row r="1105" spans="1:12" x14ac:dyDescent="0.2">
      <c r="A1105">
        <v>1104</v>
      </c>
      <c r="B1105">
        <v>0</v>
      </c>
      <c r="C1105">
        <v>165</v>
      </c>
      <c r="D1105">
        <v>76</v>
      </c>
      <c r="E1105">
        <v>43</v>
      </c>
      <c r="F1105">
        <v>255</v>
      </c>
      <c r="G1105">
        <v>47.9</v>
      </c>
      <c r="H1105">
        <v>0.25900000000000001</v>
      </c>
      <c r="I1105">
        <v>26</v>
      </c>
      <c r="J1105">
        <v>0</v>
      </c>
      <c r="K1105" t="str">
        <f t="shared" si="34"/>
        <v>Young</v>
      </c>
      <c r="L1105" t="str">
        <f t="shared" si="35"/>
        <v>Obese</v>
      </c>
    </row>
    <row r="1106" spans="1:12" x14ac:dyDescent="0.2">
      <c r="A1106">
        <v>1105</v>
      </c>
      <c r="B1106">
        <v>0</v>
      </c>
      <c r="C1106">
        <v>117</v>
      </c>
      <c r="D1106">
        <v>121</v>
      </c>
      <c r="E1106">
        <v>0</v>
      </c>
      <c r="F1106">
        <v>0</v>
      </c>
      <c r="G1106">
        <v>33.799999999999997</v>
      </c>
      <c r="H1106">
        <v>0.93200000000000005</v>
      </c>
      <c r="I1106">
        <v>44</v>
      </c>
      <c r="J1106">
        <v>0</v>
      </c>
      <c r="K1106" t="str">
        <f t="shared" si="34"/>
        <v>Middle-Aged</v>
      </c>
      <c r="L1106" t="str">
        <f t="shared" si="35"/>
        <v>Obese</v>
      </c>
    </row>
    <row r="1107" spans="1:12" x14ac:dyDescent="0.2">
      <c r="A1107">
        <v>1106</v>
      </c>
      <c r="B1107">
        <v>5</v>
      </c>
      <c r="C1107">
        <v>115</v>
      </c>
      <c r="D1107">
        <v>76</v>
      </c>
      <c r="E1107">
        <v>0</v>
      </c>
      <c r="F1107">
        <v>0</v>
      </c>
      <c r="G1107">
        <v>31.2</v>
      </c>
      <c r="H1107">
        <v>0.34300000000000003</v>
      </c>
      <c r="I1107">
        <v>44</v>
      </c>
      <c r="J1107">
        <v>1</v>
      </c>
      <c r="K1107" t="str">
        <f t="shared" si="34"/>
        <v>Middle-Aged</v>
      </c>
      <c r="L1107" t="str">
        <f t="shared" si="35"/>
        <v>Obese</v>
      </c>
    </row>
    <row r="1108" spans="1:12" x14ac:dyDescent="0.2">
      <c r="A1108">
        <v>1107</v>
      </c>
      <c r="B1108">
        <v>9</v>
      </c>
      <c r="C1108">
        <v>152</v>
      </c>
      <c r="D1108">
        <v>78</v>
      </c>
      <c r="E1108">
        <v>34</v>
      </c>
      <c r="F1108">
        <v>171</v>
      </c>
      <c r="G1108">
        <v>34.200000000000003</v>
      </c>
      <c r="H1108">
        <v>0.89300000000000002</v>
      </c>
      <c r="I1108">
        <v>33</v>
      </c>
      <c r="J1108">
        <v>1</v>
      </c>
      <c r="K1108" t="str">
        <f t="shared" si="34"/>
        <v>Middle-Aged</v>
      </c>
      <c r="L1108" t="str">
        <f t="shared" si="35"/>
        <v>Obese</v>
      </c>
    </row>
    <row r="1109" spans="1:12" x14ac:dyDescent="0.2">
      <c r="A1109">
        <v>1108</v>
      </c>
      <c r="B1109">
        <v>7</v>
      </c>
      <c r="C1109">
        <v>178</v>
      </c>
      <c r="D1109">
        <v>84</v>
      </c>
      <c r="E1109">
        <v>0</v>
      </c>
      <c r="F1109">
        <v>0</v>
      </c>
      <c r="G1109">
        <v>39.9</v>
      </c>
      <c r="H1109">
        <v>0.33100000000000002</v>
      </c>
      <c r="I1109">
        <v>41</v>
      </c>
      <c r="J1109">
        <v>1</v>
      </c>
      <c r="K1109" t="str">
        <f t="shared" si="34"/>
        <v>Middle-Aged</v>
      </c>
      <c r="L1109" t="str">
        <f t="shared" si="35"/>
        <v>Obese</v>
      </c>
    </row>
    <row r="1110" spans="1:12" x14ac:dyDescent="0.2">
      <c r="A1110">
        <v>1109</v>
      </c>
      <c r="B1110">
        <v>1</v>
      </c>
      <c r="C1110">
        <v>130</v>
      </c>
      <c r="D1110">
        <v>70</v>
      </c>
      <c r="E1110">
        <v>13</v>
      </c>
      <c r="F1110">
        <v>105</v>
      </c>
      <c r="G1110">
        <v>25.9</v>
      </c>
      <c r="H1110">
        <v>0.47199999999999998</v>
      </c>
      <c r="I1110">
        <v>22</v>
      </c>
      <c r="J1110">
        <v>0</v>
      </c>
      <c r="K1110" t="str">
        <f t="shared" si="34"/>
        <v>Young</v>
      </c>
      <c r="L1110" t="str">
        <f t="shared" si="35"/>
        <v>Overweight</v>
      </c>
    </row>
    <row r="1111" spans="1:12" x14ac:dyDescent="0.2">
      <c r="A1111">
        <v>1110</v>
      </c>
      <c r="B1111">
        <v>1</v>
      </c>
      <c r="C1111">
        <v>95</v>
      </c>
      <c r="D1111">
        <v>74</v>
      </c>
      <c r="E1111">
        <v>21</v>
      </c>
      <c r="F1111">
        <v>73</v>
      </c>
      <c r="G1111">
        <v>25.9</v>
      </c>
      <c r="H1111">
        <v>0.67300000000000004</v>
      </c>
      <c r="I1111">
        <v>36</v>
      </c>
      <c r="J1111">
        <v>0</v>
      </c>
      <c r="K1111" t="str">
        <f t="shared" si="34"/>
        <v>Middle-Aged</v>
      </c>
      <c r="L1111" t="str">
        <f t="shared" si="35"/>
        <v>Overweight</v>
      </c>
    </row>
    <row r="1112" spans="1:12" x14ac:dyDescent="0.2">
      <c r="A1112">
        <v>1111</v>
      </c>
      <c r="B1112">
        <v>1</v>
      </c>
      <c r="C1112">
        <v>121</v>
      </c>
      <c r="D1112">
        <v>68</v>
      </c>
      <c r="E1112">
        <v>35</v>
      </c>
      <c r="F1112">
        <v>0</v>
      </c>
      <c r="G1112">
        <v>32</v>
      </c>
      <c r="H1112">
        <v>0.38900000000000001</v>
      </c>
      <c r="I1112">
        <v>22</v>
      </c>
      <c r="J1112">
        <v>0</v>
      </c>
      <c r="K1112" t="str">
        <f t="shared" si="34"/>
        <v>Young</v>
      </c>
      <c r="L1112" t="str">
        <f t="shared" si="35"/>
        <v>Obese</v>
      </c>
    </row>
    <row r="1113" spans="1:12" x14ac:dyDescent="0.2">
      <c r="A1113">
        <v>1112</v>
      </c>
      <c r="B1113">
        <v>5</v>
      </c>
      <c r="C1113">
        <v>122</v>
      </c>
      <c r="D1113">
        <v>86</v>
      </c>
      <c r="E1113">
        <v>0</v>
      </c>
      <c r="F1113">
        <v>0</v>
      </c>
      <c r="G1113">
        <v>34.700000000000003</v>
      </c>
      <c r="H1113">
        <v>0.28999999999999998</v>
      </c>
      <c r="I1113">
        <v>33</v>
      </c>
      <c r="J1113">
        <v>0</v>
      </c>
      <c r="K1113" t="str">
        <f t="shared" si="34"/>
        <v>Middle-Aged</v>
      </c>
      <c r="L1113" t="str">
        <f t="shared" si="35"/>
        <v>Obese</v>
      </c>
    </row>
    <row r="1114" spans="1:12" x14ac:dyDescent="0.2">
      <c r="A1114">
        <v>1113</v>
      </c>
      <c r="B1114">
        <v>8</v>
      </c>
      <c r="C1114">
        <v>95</v>
      </c>
      <c r="D1114">
        <v>72</v>
      </c>
      <c r="E1114">
        <v>0</v>
      </c>
      <c r="F1114">
        <v>0</v>
      </c>
      <c r="G1114">
        <v>36.799999999999997</v>
      </c>
      <c r="H1114">
        <v>0.48499999999999999</v>
      </c>
      <c r="I1114">
        <v>57</v>
      </c>
      <c r="J1114">
        <v>0</v>
      </c>
      <c r="K1114" t="str">
        <f t="shared" si="34"/>
        <v>Senior</v>
      </c>
      <c r="L1114" t="str">
        <f t="shared" si="35"/>
        <v>Obese</v>
      </c>
    </row>
    <row r="1115" spans="1:12" x14ac:dyDescent="0.2">
      <c r="A1115">
        <v>1114</v>
      </c>
      <c r="B1115">
        <v>8</v>
      </c>
      <c r="C1115">
        <v>126</v>
      </c>
      <c r="D1115">
        <v>88</v>
      </c>
      <c r="E1115">
        <v>36</v>
      </c>
      <c r="F1115">
        <v>108</v>
      </c>
      <c r="G1115">
        <v>38.5</v>
      </c>
      <c r="H1115">
        <v>0.34899999999999998</v>
      </c>
      <c r="I1115">
        <v>49</v>
      </c>
      <c r="J1115">
        <v>0</v>
      </c>
      <c r="K1115" t="str">
        <f t="shared" si="34"/>
        <v>Senior</v>
      </c>
      <c r="L1115" t="str">
        <f t="shared" si="35"/>
        <v>Obese</v>
      </c>
    </row>
    <row r="1116" spans="1:12" x14ac:dyDescent="0.2">
      <c r="A1116">
        <v>1115</v>
      </c>
      <c r="B1116">
        <v>1</v>
      </c>
      <c r="C1116">
        <v>139</v>
      </c>
      <c r="D1116">
        <v>46</v>
      </c>
      <c r="E1116">
        <v>19</v>
      </c>
      <c r="F1116">
        <v>83</v>
      </c>
      <c r="G1116">
        <v>28.7</v>
      </c>
      <c r="H1116">
        <v>0.65400000000000003</v>
      </c>
      <c r="I1116">
        <v>22</v>
      </c>
      <c r="J1116">
        <v>0</v>
      </c>
      <c r="K1116" t="str">
        <f t="shared" si="34"/>
        <v>Young</v>
      </c>
      <c r="L1116" t="str">
        <f t="shared" si="35"/>
        <v>Overweight</v>
      </c>
    </row>
    <row r="1117" spans="1:12" x14ac:dyDescent="0.2">
      <c r="A1117">
        <v>1116</v>
      </c>
      <c r="B1117">
        <v>3</v>
      </c>
      <c r="C1117">
        <v>116</v>
      </c>
      <c r="D1117">
        <v>121</v>
      </c>
      <c r="E1117">
        <v>0</v>
      </c>
      <c r="F1117">
        <v>0</v>
      </c>
      <c r="G1117">
        <v>23.5</v>
      </c>
      <c r="H1117">
        <v>0.187</v>
      </c>
      <c r="I1117">
        <v>23</v>
      </c>
      <c r="J1117">
        <v>0</v>
      </c>
      <c r="K1117" t="str">
        <f t="shared" si="34"/>
        <v>Young</v>
      </c>
      <c r="L1117" t="str">
        <f t="shared" si="35"/>
        <v>Normal</v>
      </c>
    </row>
    <row r="1118" spans="1:12" x14ac:dyDescent="0.2">
      <c r="A1118">
        <v>1117</v>
      </c>
      <c r="B1118">
        <v>3</v>
      </c>
      <c r="C1118">
        <v>99</v>
      </c>
      <c r="D1118">
        <v>62</v>
      </c>
      <c r="E1118">
        <v>19</v>
      </c>
      <c r="F1118">
        <v>74</v>
      </c>
      <c r="G1118">
        <v>21.8</v>
      </c>
      <c r="H1118">
        <v>0.27900000000000003</v>
      </c>
      <c r="I1118">
        <v>26</v>
      </c>
      <c r="J1118">
        <v>0</v>
      </c>
      <c r="K1118" t="str">
        <f t="shared" si="34"/>
        <v>Young</v>
      </c>
      <c r="L1118" t="str">
        <f t="shared" si="35"/>
        <v>Normal</v>
      </c>
    </row>
    <row r="1119" spans="1:12" x14ac:dyDescent="0.2">
      <c r="A1119">
        <v>1118</v>
      </c>
      <c r="B1119">
        <v>5</v>
      </c>
      <c r="C1119">
        <v>121</v>
      </c>
      <c r="D1119">
        <v>80</v>
      </c>
      <c r="E1119">
        <v>32</v>
      </c>
      <c r="F1119">
        <v>0</v>
      </c>
      <c r="G1119">
        <v>41</v>
      </c>
      <c r="H1119">
        <v>0.34599999999999997</v>
      </c>
      <c r="I1119">
        <v>37</v>
      </c>
      <c r="J1119">
        <v>1</v>
      </c>
      <c r="K1119" t="str">
        <f t="shared" si="34"/>
        <v>Middle-Aged</v>
      </c>
      <c r="L1119" t="str">
        <f t="shared" si="35"/>
        <v>Obese</v>
      </c>
    </row>
    <row r="1120" spans="1:12" x14ac:dyDescent="0.2">
      <c r="A1120">
        <v>1119</v>
      </c>
      <c r="B1120">
        <v>4</v>
      </c>
      <c r="C1120">
        <v>92</v>
      </c>
      <c r="D1120">
        <v>80</v>
      </c>
      <c r="E1120">
        <v>0</v>
      </c>
      <c r="F1120">
        <v>0</v>
      </c>
      <c r="G1120">
        <v>42.2</v>
      </c>
      <c r="H1120">
        <v>0.23699999999999999</v>
      </c>
      <c r="I1120">
        <v>29</v>
      </c>
      <c r="J1120">
        <v>0</v>
      </c>
      <c r="K1120" t="str">
        <f t="shared" si="34"/>
        <v>Young</v>
      </c>
      <c r="L1120" t="str">
        <f t="shared" si="35"/>
        <v>Obese</v>
      </c>
    </row>
    <row r="1121" spans="1:12" x14ac:dyDescent="0.2">
      <c r="A1121">
        <v>1120</v>
      </c>
      <c r="B1121">
        <v>4</v>
      </c>
      <c r="C1121">
        <v>137</v>
      </c>
      <c r="D1121">
        <v>84</v>
      </c>
      <c r="E1121">
        <v>0</v>
      </c>
      <c r="F1121">
        <v>0</v>
      </c>
      <c r="G1121">
        <v>31.2</v>
      </c>
      <c r="H1121">
        <v>0.252</v>
      </c>
      <c r="I1121">
        <v>30</v>
      </c>
      <c r="J1121">
        <v>0</v>
      </c>
      <c r="K1121" t="str">
        <f t="shared" si="34"/>
        <v>Middle-Aged</v>
      </c>
      <c r="L1121" t="str">
        <f t="shared" si="35"/>
        <v>Obese</v>
      </c>
    </row>
    <row r="1122" spans="1:12" x14ac:dyDescent="0.2">
      <c r="A1122">
        <v>1121</v>
      </c>
      <c r="B1122">
        <v>3</v>
      </c>
      <c r="C1122">
        <v>61</v>
      </c>
      <c r="D1122">
        <v>82</v>
      </c>
      <c r="E1122">
        <v>28</v>
      </c>
      <c r="F1122">
        <v>0</v>
      </c>
      <c r="G1122">
        <v>34.4</v>
      </c>
      <c r="H1122">
        <v>0.24299999999999999</v>
      </c>
      <c r="I1122">
        <v>46</v>
      </c>
      <c r="J1122">
        <v>0</v>
      </c>
      <c r="K1122" t="str">
        <f t="shared" si="34"/>
        <v>Senior</v>
      </c>
      <c r="L1122" t="str">
        <f t="shared" si="35"/>
        <v>Obese</v>
      </c>
    </row>
    <row r="1123" spans="1:12" x14ac:dyDescent="0.2">
      <c r="A1123">
        <v>1122</v>
      </c>
      <c r="B1123">
        <v>1</v>
      </c>
      <c r="C1123">
        <v>90</v>
      </c>
      <c r="D1123">
        <v>62</v>
      </c>
      <c r="E1123">
        <v>12</v>
      </c>
      <c r="F1123">
        <v>43</v>
      </c>
      <c r="G1123">
        <v>27.2</v>
      </c>
      <c r="H1123">
        <v>0.57999999999999996</v>
      </c>
      <c r="I1123">
        <v>24</v>
      </c>
      <c r="J1123">
        <v>0</v>
      </c>
      <c r="K1123" t="str">
        <f t="shared" si="34"/>
        <v>Young</v>
      </c>
      <c r="L1123" t="str">
        <f t="shared" si="35"/>
        <v>Overweight</v>
      </c>
    </row>
    <row r="1124" spans="1:12" x14ac:dyDescent="0.2">
      <c r="A1124">
        <v>1123</v>
      </c>
      <c r="B1124">
        <v>3</v>
      </c>
      <c r="C1124">
        <v>90</v>
      </c>
      <c r="D1124">
        <v>78</v>
      </c>
      <c r="E1124">
        <v>0</v>
      </c>
      <c r="F1124">
        <v>0</v>
      </c>
      <c r="G1124">
        <v>42.7</v>
      </c>
      <c r="H1124">
        <v>0.55900000000000005</v>
      </c>
      <c r="I1124">
        <v>21</v>
      </c>
      <c r="J1124">
        <v>0</v>
      </c>
      <c r="K1124" t="str">
        <f t="shared" si="34"/>
        <v>Young</v>
      </c>
      <c r="L1124" t="str">
        <f t="shared" si="35"/>
        <v>Obese</v>
      </c>
    </row>
    <row r="1125" spans="1:12" x14ac:dyDescent="0.2">
      <c r="A1125">
        <v>1124</v>
      </c>
      <c r="B1125">
        <v>9</v>
      </c>
      <c r="C1125">
        <v>165</v>
      </c>
      <c r="D1125">
        <v>88</v>
      </c>
      <c r="E1125">
        <v>0</v>
      </c>
      <c r="F1125">
        <v>0</v>
      </c>
      <c r="G1125">
        <v>30.4</v>
      </c>
      <c r="H1125">
        <v>0.30199999999999999</v>
      </c>
      <c r="I1125">
        <v>49</v>
      </c>
      <c r="J1125">
        <v>1</v>
      </c>
      <c r="K1125" t="str">
        <f t="shared" si="34"/>
        <v>Senior</v>
      </c>
      <c r="L1125" t="str">
        <f t="shared" si="35"/>
        <v>Obese</v>
      </c>
    </row>
    <row r="1126" spans="1:12" x14ac:dyDescent="0.2">
      <c r="A1126">
        <v>1125</v>
      </c>
      <c r="B1126">
        <v>1</v>
      </c>
      <c r="C1126">
        <v>125</v>
      </c>
      <c r="D1126">
        <v>50</v>
      </c>
      <c r="E1126">
        <v>40</v>
      </c>
      <c r="F1126">
        <v>167</v>
      </c>
      <c r="G1126">
        <v>33.299999999999997</v>
      </c>
      <c r="H1126">
        <v>0.96199999999999997</v>
      </c>
      <c r="I1126">
        <v>28</v>
      </c>
      <c r="J1126">
        <v>1</v>
      </c>
      <c r="K1126" t="str">
        <f t="shared" si="34"/>
        <v>Young</v>
      </c>
      <c r="L1126" t="str">
        <f t="shared" si="35"/>
        <v>Obese</v>
      </c>
    </row>
    <row r="1127" spans="1:12" x14ac:dyDescent="0.2">
      <c r="A1127">
        <v>1126</v>
      </c>
      <c r="B1127">
        <v>13</v>
      </c>
      <c r="C1127">
        <v>129</v>
      </c>
      <c r="D1127">
        <v>121</v>
      </c>
      <c r="E1127">
        <v>30</v>
      </c>
      <c r="F1127">
        <v>0</v>
      </c>
      <c r="G1127">
        <v>39.9</v>
      </c>
      <c r="H1127">
        <v>0.56899999999999995</v>
      </c>
      <c r="I1127">
        <v>44</v>
      </c>
      <c r="J1127">
        <v>1</v>
      </c>
      <c r="K1127" t="str">
        <f t="shared" si="34"/>
        <v>Middle-Aged</v>
      </c>
      <c r="L1127" t="str">
        <f t="shared" si="35"/>
        <v>Obese</v>
      </c>
    </row>
    <row r="1128" spans="1:12" x14ac:dyDescent="0.2">
      <c r="A1128">
        <v>1127</v>
      </c>
      <c r="B1128">
        <v>12</v>
      </c>
      <c r="C1128">
        <v>88</v>
      </c>
      <c r="D1128">
        <v>74</v>
      </c>
      <c r="E1128">
        <v>40</v>
      </c>
      <c r="F1128">
        <v>54</v>
      </c>
      <c r="G1128">
        <v>35.299999999999997</v>
      </c>
      <c r="H1128">
        <v>0.378</v>
      </c>
      <c r="I1128">
        <v>48</v>
      </c>
      <c r="J1128">
        <v>0</v>
      </c>
      <c r="K1128" t="str">
        <f t="shared" si="34"/>
        <v>Senior</v>
      </c>
      <c r="L1128" t="str">
        <f t="shared" si="35"/>
        <v>Obese</v>
      </c>
    </row>
    <row r="1129" spans="1:12" x14ac:dyDescent="0.2">
      <c r="A1129">
        <v>1128</v>
      </c>
      <c r="B1129">
        <v>1</v>
      </c>
      <c r="C1129">
        <v>196</v>
      </c>
      <c r="D1129">
        <v>76</v>
      </c>
      <c r="E1129">
        <v>36</v>
      </c>
      <c r="F1129">
        <v>249</v>
      </c>
      <c r="G1129">
        <v>36.5</v>
      </c>
      <c r="H1129">
        <v>0.875</v>
      </c>
      <c r="I1129">
        <v>29</v>
      </c>
      <c r="J1129">
        <v>1</v>
      </c>
      <c r="K1129" t="str">
        <f t="shared" si="34"/>
        <v>Young</v>
      </c>
      <c r="L1129" t="str">
        <f t="shared" si="35"/>
        <v>Obese</v>
      </c>
    </row>
    <row r="1130" spans="1:12" x14ac:dyDescent="0.2">
      <c r="A1130">
        <v>1129</v>
      </c>
      <c r="B1130">
        <v>5</v>
      </c>
      <c r="C1130">
        <v>189</v>
      </c>
      <c r="D1130">
        <v>64</v>
      </c>
      <c r="E1130">
        <v>33</v>
      </c>
      <c r="F1130">
        <v>325</v>
      </c>
      <c r="G1130">
        <v>31.2</v>
      </c>
      <c r="H1130">
        <v>0.58299999999999996</v>
      </c>
      <c r="I1130">
        <v>29</v>
      </c>
      <c r="J1130">
        <v>1</v>
      </c>
      <c r="K1130" t="str">
        <f t="shared" si="34"/>
        <v>Young</v>
      </c>
      <c r="L1130" t="str">
        <f t="shared" si="35"/>
        <v>Obese</v>
      </c>
    </row>
    <row r="1131" spans="1:12" x14ac:dyDescent="0.2">
      <c r="A1131">
        <v>1130</v>
      </c>
      <c r="B1131">
        <v>5</v>
      </c>
      <c r="C1131">
        <v>158</v>
      </c>
      <c r="D1131">
        <v>70</v>
      </c>
      <c r="E1131">
        <v>0</v>
      </c>
      <c r="F1131">
        <v>0</v>
      </c>
      <c r="G1131">
        <v>29.8</v>
      </c>
      <c r="H1131">
        <v>0.20699999999999999</v>
      </c>
      <c r="I1131">
        <v>63</v>
      </c>
      <c r="J1131">
        <v>0</v>
      </c>
      <c r="K1131" t="str">
        <f t="shared" si="34"/>
        <v>Senior</v>
      </c>
      <c r="L1131" t="str">
        <f t="shared" si="35"/>
        <v>Overweight</v>
      </c>
    </row>
    <row r="1132" spans="1:12" x14ac:dyDescent="0.2">
      <c r="A1132">
        <v>1131</v>
      </c>
      <c r="B1132">
        <v>5</v>
      </c>
      <c r="C1132">
        <v>103</v>
      </c>
      <c r="D1132">
        <v>108</v>
      </c>
      <c r="E1132">
        <v>37</v>
      </c>
      <c r="F1132">
        <v>0</v>
      </c>
      <c r="G1132">
        <v>39.200000000000003</v>
      </c>
      <c r="H1132">
        <v>0.30499999999999999</v>
      </c>
      <c r="I1132">
        <v>65</v>
      </c>
      <c r="J1132">
        <v>0</v>
      </c>
      <c r="K1132" t="str">
        <f t="shared" si="34"/>
        <v>Senior</v>
      </c>
      <c r="L1132" t="str">
        <f t="shared" si="35"/>
        <v>Obese</v>
      </c>
    </row>
    <row r="1133" spans="1:12" x14ac:dyDescent="0.2">
      <c r="A1133">
        <v>1132</v>
      </c>
      <c r="B1133">
        <v>4</v>
      </c>
      <c r="C1133">
        <v>146</v>
      </c>
      <c r="D1133">
        <v>78</v>
      </c>
      <c r="E1133">
        <v>0</v>
      </c>
      <c r="F1133">
        <v>0</v>
      </c>
      <c r="G1133">
        <v>38.5</v>
      </c>
      <c r="H1133">
        <v>0.52</v>
      </c>
      <c r="I1133">
        <v>67</v>
      </c>
      <c r="J1133">
        <v>1</v>
      </c>
      <c r="K1133" t="str">
        <f t="shared" si="34"/>
        <v>Senior</v>
      </c>
      <c r="L1133" t="str">
        <f t="shared" si="35"/>
        <v>Obese</v>
      </c>
    </row>
    <row r="1134" spans="1:12" x14ac:dyDescent="0.2">
      <c r="A1134">
        <v>1133</v>
      </c>
      <c r="B1134">
        <v>4</v>
      </c>
      <c r="C1134">
        <v>147</v>
      </c>
      <c r="D1134">
        <v>74</v>
      </c>
      <c r="E1134">
        <v>25</v>
      </c>
      <c r="F1134">
        <v>293</v>
      </c>
      <c r="G1134">
        <v>34.9</v>
      </c>
      <c r="H1134">
        <v>0.38500000000000001</v>
      </c>
      <c r="I1134">
        <v>30</v>
      </c>
      <c r="J1134">
        <v>0</v>
      </c>
      <c r="K1134" t="str">
        <f t="shared" si="34"/>
        <v>Middle-Aged</v>
      </c>
      <c r="L1134" t="str">
        <f t="shared" si="35"/>
        <v>Obese</v>
      </c>
    </row>
    <row r="1135" spans="1:12" x14ac:dyDescent="0.2">
      <c r="A1135">
        <v>1134</v>
      </c>
      <c r="B1135">
        <v>5</v>
      </c>
      <c r="C1135">
        <v>99</v>
      </c>
      <c r="D1135">
        <v>54</v>
      </c>
      <c r="E1135">
        <v>28</v>
      </c>
      <c r="F1135">
        <v>83</v>
      </c>
      <c r="G1135">
        <v>34</v>
      </c>
      <c r="H1135">
        <v>0.499</v>
      </c>
      <c r="I1135">
        <v>30</v>
      </c>
      <c r="J1135">
        <v>0</v>
      </c>
      <c r="K1135" t="str">
        <f t="shared" si="34"/>
        <v>Middle-Aged</v>
      </c>
      <c r="L1135" t="str">
        <f t="shared" si="35"/>
        <v>Obese</v>
      </c>
    </row>
    <row r="1136" spans="1:12" x14ac:dyDescent="0.2">
      <c r="A1136">
        <v>1135</v>
      </c>
      <c r="B1136">
        <v>6</v>
      </c>
      <c r="C1136">
        <v>124</v>
      </c>
      <c r="D1136">
        <v>72</v>
      </c>
      <c r="E1136">
        <v>0</v>
      </c>
      <c r="F1136">
        <v>0</v>
      </c>
      <c r="G1136">
        <v>27.6</v>
      </c>
      <c r="H1136">
        <v>0.36799999999999999</v>
      </c>
      <c r="I1136">
        <v>29</v>
      </c>
      <c r="J1136">
        <v>1</v>
      </c>
      <c r="K1136" t="str">
        <f t="shared" si="34"/>
        <v>Young</v>
      </c>
      <c r="L1136" t="str">
        <f t="shared" si="35"/>
        <v>Overweight</v>
      </c>
    </row>
    <row r="1137" spans="1:12" x14ac:dyDescent="0.2">
      <c r="A1137">
        <v>1136</v>
      </c>
      <c r="B1137">
        <v>0</v>
      </c>
      <c r="C1137">
        <v>101</v>
      </c>
      <c r="D1137">
        <v>64</v>
      </c>
      <c r="E1137">
        <v>17</v>
      </c>
      <c r="F1137">
        <v>0</v>
      </c>
      <c r="G1137">
        <v>21</v>
      </c>
      <c r="H1137">
        <v>0.252</v>
      </c>
      <c r="I1137">
        <v>21</v>
      </c>
      <c r="J1137">
        <v>0</v>
      </c>
      <c r="K1137" t="str">
        <f t="shared" si="34"/>
        <v>Young</v>
      </c>
      <c r="L1137" t="str">
        <f t="shared" si="35"/>
        <v>Normal</v>
      </c>
    </row>
    <row r="1138" spans="1:12" x14ac:dyDescent="0.2">
      <c r="A1138">
        <v>1137</v>
      </c>
      <c r="B1138">
        <v>3</v>
      </c>
      <c r="C1138">
        <v>81</v>
      </c>
      <c r="D1138">
        <v>86</v>
      </c>
      <c r="E1138">
        <v>16</v>
      </c>
      <c r="F1138">
        <v>66</v>
      </c>
      <c r="G1138">
        <v>27.5</v>
      </c>
      <c r="H1138">
        <v>0.30599999999999999</v>
      </c>
      <c r="I1138">
        <v>22</v>
      </c>
      <c r="J1138">
        <v>0</v>
      </c>
      <c r="K1138" t="str">
        <f t="shared" si="34"/>
        <v>Young</v>
      </c>
      <c r="L1138" t="str">
        <f t="shared" si="35"/>
        <v>Overweight</v>
      </c>
    </row>
    <row r="1139" spans="1:12" x14ac:dyDescent="0.2">
      <c r="A1139">
        <v>1138</v>
      </c>
      <c r="B1139">
        <v>1</v>
      </c>
      <c r="C1139">
        <v>133</v>
      </c>
      <c r="D1139">
        <v>102</v>
      </c>
      <c r="E1139">
        <v>28</v>
      </c>
      <c r="F1139">
        <v>140</v>
      </c>
      <c r="G1139">
        <v>32.799999999999997</v>
      </c>
      <c r="H1139">
        <v>0.23400000000000001</v>
      </c>
      <c r="I1139">
        <v>45</v>
      </c>
      <c r="J1139">
        <v>1</v>
      </c>
      <c r="K1139" t="str">
        <f t="shared" si="34"/>
        <v>Senior</v>
      </c>
      <c r="L1139" t="str">
        <f t="shared" si="35"/>
        <v>Obese</v>
      </c>
    </row>
    <row r="1140" spans="1:12" x14ac:dyDescent="0.2">
      <c r="A1140">
        <v>1139</v>
      </c>
      <c r="B1140">
        <v>3</v>
      </c>
      <c r="C1140">
        <v>173</v>
      </c>
      <c r="D1140">
        <v>82</v>
      </c>
      <c r="E1140">
        <v>48</v>
      </c>
      <c r="F1140">
        <v>465</v>
      </c>
      <c r="G1140">
        <v>38.4</v>
      </c>
      <c r="H1140">
        <v>2.137</v>
      </c>
      <c r="I1140">
        <v>25</v>
      </c>
      <c r="J1140">
        <v>1</v>
      </c>
      <c r="K1140" t="str">
        <f t="shared" si="34"/>
        <v>Young</v>
      </c>
      <c r="L1140" t="str">
        <f t="shared" si="35"/>
        <v>Obese</v>
      </c>
    </row>
    <row r="1141" spans="1:12" x14ac:dyDescent="0.2">
      <c r="A1141">
        <v>1140</v>
      </c>
      <c r="B1141">
        <v>0</v>
      </c>
      <c r="C1141">
        <v>118</v>
      </c>
      <c r="D1141">
        <v>64</v>
      </c>
      <c r="E1141">
        <v>23</v>
      </c>
      <c r="F1141">
        <v>89</v>
      </c>
      <c r="G1141">
        <v>121</v>
      </c>
      <c r="H1141">
        <v>1.7310000000000001</v>
      </c>
      <c r="I1141">
        <v>21</v>
      </c>
      <c r="J1141">
        <v>0</v>
      </c>
      <c r="K1141" t="str">
        <f t="shared" si="34"/>
        <v>Young</v>
      </c>
      <c r="L1141" t="str">
        <f t="shared" si="35"/>
        <v>Obese</v>
      </c>
    </row>
    <row r="1142" spans="1:12" x14ac:dyDescent="0.2">
      <c r="A1142">
        <v>1141</v>
      </c>
      <c r="B1142">
        <v>0</v>
      </c>
      <c r="C1142">
        <v>84</v>
      </c>
      <c r="D1142">
        <v>64</v>
      </c>
      <c r="E1142">
        <v>22</v>
      </c>
      <c r="F1142">
        <v>66</v>
      </c>
      <c r="G1142">
        <v>35.799999999999997</v>
      </c>
      <c r="H1142">
        <v>0.54500000000000004</v>
      </c>
      <c r="I1142">
        <v>21</v>
      </c>
      <c r="J1142">
        <v>0</v>
      </c>
      <c r="K1142" t="str">
        <f t="shared" si="34"/>
        <v>Young</v>
      </c>
      <c r="L1142" t="str">
        <f t="shared" si="35"/>
        <v>Obese</v>
      </c>
    </row>
    <row r="1143" spans="1:12" x14ac:dyDescent="0.2">
      <c r="A1143">
        <v>1142</v>
      </c>
      <c r="B1143">
        <v>2</v>
      </c>
      <c r="C1143">
        <v>105</v>
      </c>
      <c r="D1143">
        <v>58</v>
      </c>
      <c r="E1143">
        <v>40</v>
      </c>
      <c r="F1143">
        <v>94</v>
      </c>
      <c r="G1143">
        <v>34.9</v>
      </c>
      <c r="H1143">
        <v>0.22500000000000001</v>
      </c>
      <c r="I1143">
        <v>25</v>
      </c>
      <c r="J1143">
        <v>0</v>
      </c>
      <c r="K1143" t="str">
        <f t="shared" si="34"/>
        <v>Young</v>
      </c>
      <c r="L1143" t="str">
        <f t="shared" si="35"/>
        <v>Obese</v>
      </c>
    </row>
    <row r="1144" spans="1:12" x14ac:dyDescent="0.2">
      <c r="A1144">
        <v>1143</v>
      </c>
      <c r="B1144">
        <v>2</v>
      </c>
      <c r="C1144">
        <v>122</v>
      </c>
      <c r="D1144">
        <v>52</v>
      </c>
      <c r="E1144">
        <v>43</v>
      </c>
      <c r="F1144">
        <v>158</v>
      </c>
      <c r="G1144">
        <v>36.200000000000003</v>
      </c>
      <c r="H1144">
        <v>0.81599999999999995</v>
      </c>
      <c r="I1144">
        <v>28</v>
      </c>
      <c r="J1144">
        <v>0</v>
      </c>
      <c r="K1144" t="str">
        <f t="shared" si="34"/>
        <v>Young</v>
      </c>
      <c r="L1144" t="str">
        <f t="shared" si="35"/>
        <v>Obese</v>
      </c>
    </row>
    <row r="1145" spans="1:12" x14ac:dyDescent="0.2">
      <c r="A1145">
        <v>1144</v>
      </c>
      <c r="B1145">
        <v>12</v>
      </c>
      <c r="C1145">
        <v>140</v>
      </c>
      <c r="D1145">
        <v>82</v>
      </c>
      <c r="E1145">
        <v>43</v>
      </c>
      <c r="F1145">
        <v>325</v>
      </c>
      <c r="G1145">
        <v>39.200000000000003</v>
      </c>
      <c r="H1145">
        <v>0.52800000000000002</v>
      </c>
      <c r="I1145">
        <v>58</v>
      </c>
      <c r="J1145">
        <v>1</v>
      </c>
      <c r="K1145" t="str">
        <f t="shared" si="34"/>
        <v>Senior</v>
      </c>
      <c r="L1145" t="str">
        <f t="shared" si="35"/>
        <v>Obese</v>
      </c>
    </row>
    <row r="1146" spans="1:12" x14ac:dyDescent="0.2">
      <c r="A1146">
        <v>1145</v>
      </c>
      <c r="B1146">
        <v>0</v>
      </c>
      <c r="C1146">
        <v>98</v>
      </c>
      <c r="D1146">
        <v>82</v>
      </c>
      <c r="E1146">
        <v>15</v>
      </c>
      <c r="F1146">
        <v>84</v>
      </c>
      <c r="G1146">
        <v>25.2</v>
      </c>
      <c r="H1146">
        <v>0.29899999999999999</v>
      </c>
      <c r="I1146">
        <v>22</v>
      </c>
      <c r="J1146">
        <v>0</v>
      </c>
      <c r="K1146" t="str">
        <f t="shared" si="34"/>
        <v>Young</v>
      </c>
      <c r="L1146" t="str">
        <f t="shared" si="35"/>
        <v>Overweight</v>
      </c>
    </row>
    <row r="1147" spans="1:12" x14ac:dyDescent="0.2">
      <c r="A1147">
        <v>1146</v>
      </c>
      <c r="B1147">
        <v>1</v>
      </c>
      <c r="C1147">
        <v>87</v>
      </c>
      <c r="D1147">
        <v>60</v>
      </c>
      <c r="E1147">
        <v>37</v>
      </c>
      <c r="F1147">
        <v>75</v>
      </c>
      <c r="G1147">
        <v>37.200000000000003</v>
      </c>
      <c r="H1147">
        <v>0.50900000000000001</v>
      </c>
      <c r="I1147">
        <v>22</v>
      </c>
      <c r="J1147">
        <v>0</v>
      </c>
      <c r="K1147" t="str">
        <f t="shared" si="34"/>
        <v>Young</v>
      </c>
      <c r="L1147" t="str">
        <f t="shared" si="35"/>
        <v>Obese</v>
      </c>
    </row>
    <row r="1148" spans="1:12" x14ac:dyDescent="0.2">
      <c r="A1148">
        <v>1147</v>
      </c>
      <c r="B1148">
        <v>4</v>
      </c>
      <c r="C1148">
        <v>156</v>
      </c>
      <c r="D1148">
        <v>75</v>
      </c>
      <c r="E1148">
        <v>0</v>
      </c>
      <c r="F1148">
        <v>0</v>
      </c>
      <c r="G1148">
        <v>48.3</v>
      </c>
      <c r="H1148">
        <v>0.23799999999999999</v>
      </c>
      <c r="I1148">
        <v>32</v>
      </c>
      <c r="J1148">
        <v>1</v>
      </c>
      <c r="K1148" t="str">
        <f t="shared" si="34"/>
        <v>Middle-Aged</v>
      </c>
      <c r="L1148" t="str">
        <f t="shared" si="35"/>
        <v>Obese</v>
      </c>
    </row>
    <row r="1149" spans="1:12" x14ac:dyDescent="0.2">
      <c r="A1149">
        <v>1148</v>
      </c>
      <c r="B1149">
        <v>0</v>
      </c>
      <c r="C1149">
        <v>93</v>
      </c>
      <c r="D1149">
        <v>100</v>
      </c>
      <c r="E1149">
        <v>39</v>
      </c>
      <c r="F1149">
        <v>72</v>
      </c>
      <c r="G1149">
        <v>43.4</v>
      </c>
      <c r="H1149">
        <v>1.0209999999999999</v>
      </c>
      <c r="I1149">
        <v>35</v>
      </c>
      <c r="J1149">
        <v>0</v>
      </c>
      <c r="K1149" t="str">
        <f t="shared" si="34"/>
        <v>Middle-Aged</v>
      </c>
      <c r="L1149" t="str">
        <f t="shared" si="35"/>
        <v>Obese</v>
      </c>
    </row>
    <row r="1150" spans="1:12" x14ac:dyDescent="0.2">
      <c r="A1150">
        <v>1149</v>
      </c>
      <c r="B1150">
        <v>1</v>
      </c>
      <c r="C1150">
        <v>107</v>
      </c>
      <c r="D1150">
        <v>72</v>
      </c>
      <c r="E1150">
        <v>30</v>
      </c>
      <c r="F1150">
        <v>82</v>
      </c>
      <c r="G1150">
        <v>30.8</v>
      </c>
      <c r="H1150">
        <v>0.82099999999999995</v>
      </c>
      <c r="I1150">
        <v>24</v>
      </c>
      <c r="J1150">
        <v>0</v>
      </c>
      <c r="K1150" t="str">
        <f t="shared" si="34"/>
        <v>Young</v>
      </c>
      <c r="L1150" t="str">
        <f t="shared" si="35"/>
        <v>Obese</v>
      </c>
    </row>
    <row r="1151" spans="1:12" x14ac:dyDescent="0.2">
      <c r="A1151">
        <v>1150</v>
      </c>
      <c r="B1151">
        <v>0</v>
      </c>
      <c r="C1151">
        <v>105</v>
      </c>
      <c r="D1151">
        <v>68</v>
      </c>
      <c r="E1151">
        <v>22</v>
      </c>
      <c r="F1151">
        <v>0</v>
      </c>
      <c r="G1151">
        <v>20</v>
      </c>
      <c r="H1151">
        <v>0.23599999999999999</v>
      </c>
      <c r="I1151">
        <v>22</v>
      </c>
      <c r="J1151">
        <v>0</v>
      </c>
      <c r="K1151" t="str">
        <f t="shared" si="34"/>
        <v>Young</v>
      </c>
      <c r="L1151" t="str">
        <f t="shared" si="35"/>
        <v>Normal</v>
      </c>
    </row>
    <row r="1152" spans="1:12" x14ac:dyDescent="0.2">
      <c r="A1152">
        <v>1151</v>
      </c>
      <c r="B1152">
        <v>1</v>
      </c>
      <c r="C1152">
        <v>109</v>
      </c>
      <c r="D1152">
        <v>60</v>
      </c>
      <c r="E1152">
        <v>8</v>
      </c>
      <c r="F1152">
        <v>182</v>
      </c>
      <c r="G1152">
        <v>25.4</v>
      </c>
      <c r="H1152">
        <v>0.94699999999999995</v>
      </c>
      <c r="I1152">
        <v>21</v>
      </c>
      <c r="J1152">
        <v>0</v>
      </c>
      <c r="K1152" t="str">
        <f t="shared" si="34"/>
        <v>Young</v>
      </c>
      <c r="L1152" t="str">
        <f t="shared" si="35"/>
        <v>Overweight</v>
      </c>
    </row>
    <row r="1153" spans="1:12" x14ac:dyDescent="0.2">
      <c r="A1153">
        <v>1152</v>
      </c>
      <c r="B1153">
        <v>1</v>
      </c>
      <c r="C1153">
        <v>90</v>
      </c>
      <c r="D1153">
        <v>62</v>
      </c>
      <c r="E1153">
        <v>18</v>
      </c>
      <c r="F1153">
        <v>59</v>
      </c>
      <c r="G1153">
        <v>25.1</v>
      </c>
      <c r="H1153">
        <v>1.268</v>
      </c>
      <c r="I1153">
        <v>25</v>
      </c>
      <c r="J1153">
        <v>0</v>
      </c>
      <c r="K1153" t="str">
        <f t="shared" si="34"/>
        <v>Young</v>
      </c>
      <c r="L1153" t="str">
        <f t="shared" si="35"/>
        <v>Overweight</v>
      </c>
    </row>
    <row r="1154" spans="1:12" x14ac:dyDescent="0.2">
      <c r="A1154">
        <v>1153</v>
      </c>
      <c r="B1154">
        <v>1</v>
      </c>
      <c r="C1154">
        <v>125</v>
      </c>
      <c r="D1154">
        <v>70</v>
      </c>
      <c r="E1154">
        <v>24</v>
      </c>
      <c r="F1154">
        <v>110</v>
      </c>
      <c r="G1154">
        <v>24.3</v>
      </c>
      <c r="H1154">
        <v>0.221</v>
      </c>
      <c r="I1154">
        <v>25</v>
      </c>
      <c r="J1154">
        <v>0</v>
      </c>
      <c r="K1154" t="str">
        <f t="shared" si="34"/>
        <v>Young</v>
      </c>
      <c r="L1154" t="str">
        <f t="shared" si="35"/>
        <v>Normal</v>
      </c>
    </row>
    <row r="1155" spans="1:12" x14ac:dyDescent="0.2">
      <c r="A1155">
        <v>1154</v>
      </c>
      <c r="B1155">
        <v>1</v>
      </c>
      <c r="C1155">
        <v>119</v>
      </c>
      <c r="D1155">
        <v>54</v>
      </c>
      <c r="E1155">
        <v>13</v>
      </c>
      <c r="F1155">
        <v>50</v>
      </c>
      <c r="G1155">
        <v>22.3</v>
      </c>
      <c r="H1155">
        <v>0.20499999999999999</v>
      </c>
      <c r="I1155">
        <v>24</v>
      </c>
      <c r="J1155">
        <v>0</v>
      </c>
      <c r="K1155" t="str">
        <f t="shared" ref="K1155:K1218" si="36">IF(I1155&lt;30, "Young", IF( I1155&lt;45, "Middle-Aged", "Senior"))</f>
        <v>Young</v>
      </c>
      <c r="L1155" t="str">
        <f t="shared" ref="L1155:L1218" si="37">IF(G1155&lt;18.5, "Underweight", IF(G1155&lt;25, "Normal", IF(G1155&lt;30, "Overweight", "Obese")))</f>
        <v>Normal</v>
      </c>
    </row>
    <row r="1156" spans="1:12" x14ac:dyDescent="0.2">
      <c r="A1156">
        <v>1155</v>
      </c>
      <c r="B1156">
        <v>5</v>
      </c>
      <c r="C1156">
        <v>116</v>
      </c>
      <c r="D1156">
        <v>74</v>
      </c>
      <c r="E1156">
        <v>29</v>
      </c>
      <c r="F1156">
        <v>0</v>
      </c>
      <c r="G1156">
        <v>32.299999999999997</v>
      </c>
      <c r="H1156">
        <v>0.66</v>
      </c>
      <c r="I1156">
        <v>35</v>
      </c>
      <c r="J1156">
        <v>1</v>
      </c>
      <c r="K1156" t="str">
        <f t="shared" si="36"/>
        <v>Middle-Aged</v>
      </c>
      <c r="L1156" t="str">
        <f t="shared" si="37"/>
        <v>Obese</v>
      </c>
    </row>
    <row r="1157" spans="1:12" x14ac:dyDescent="0.2">
      <c r="A1157">
        <v>1156</v>
      </c>
      <c r="B1157">
        <v>8</v>
      </c>
      <c r="C1157">
        <v>105</v>
      </c>
      <c r="D1157">
        <v>100</v>
      </c>
      <c r="E1157">
        <v>36</v>
      </c>
      <c r="F1157">
        <v>0</v>
      </c>
      <c r="G1157">
        <v>43.3</v>
      </c>
      <c r="H1157">
        <v>0.23899999999999999</v>
      </c>
      <c r="I1157">
        <v>45</v>
      </c>
      <c r="J1157">
        <v>1</v>
      </c>
      <c r="K1157" t="str">
        <f t="shared" si="36"/>
        <v>Senior</v>
      </c>
      <c r="L1157" t="str">
        <f t="shared" si="37"/>
        <v>Obese</v>
      </c>
    </row>
    <row r="1158" spans="1:12" x14ac:dyDescent="0.2">
      <c r="A1158">
        <v>1157</v>
      </c>
      <c r="B1158">
        <v>5</v>
      </c>
      <c r="C1158">
        <v>144</v>
      </c>
      <c r="D1158">
        <v>82</v>
      </c>
      <c r="E1158">
        <v>26</v>
      </c>
      <c r="F1158">
        <v>285</v>
      </c>
      <c r="G1158">
        <v>32</v>
      </c>
      <c r="H1158">
        <v>0.45200000000000001</v>
      </c>
      <c r="I1158">
        <v>58</v>
      </c>
      <c r="J1158">
        <v>1</v>
      </c>
      <c r="K1158" t="str">
        <f t="shared" si="36"/>
        <v>Senior</v>
      </c>
      <c r="L1158" t="str">
        <f t="shared" si="37"/>
        <v>Obese</v>
      </c>
    </row>
    <row r="1159" spans="1:12" x14ac:dyDescent="0.2">
      <c r="A1159">
        <v>1158</v>
      </c>
      <c r="B1159">
        <v>3</v>
      </c>
      <c r="C1159">
        <v>100</v>
      </c>
      <c r="D1159">
        <v>68</v>
      </c>
      <c r="E1159">
        <v>23</v>
      </c>
      <c r="F1159">
        <v>81</v>
      </c>
      <c r="G1159">
        <v>31.6</v>
      </c>
      <c r="H1159">
        <v>0.94899999999999995</v>
      </c>
      <c r="I1159">
        <v>28</v>
      </c>
      <c r="J1159">
        <v>0</v>
      </c>
      <c r="K1159" t="str">
        <f t="shared" si="36"/>
        <v>Young</v>
      </c>
      <c r="L1159" t="str">
        <f t="shared" si="37"/>
        <v>Obese</v>
      </c>
    </row>
    <row r="1160" spans="1:12" x14ac:dyDescent="0.2">
      <c r="A1160">
        <v>1159</v>
      </c>
      <c r="B1160">
        <v>1</v>
      </c>
      <c r="C1160">
        <v>100</v>
      </c>
      <c r="D1160">
        <v>66</v>
      </c>
      <c r="E1160">
        <v>29</v>
      </c>
      <c r="F1160">
        <v>196</v>
      </c>
      <c r="G1160">
        <v>32</v>
      </c>
      <c r="H1160">
        <v>0.44400000000000001</v>
      </c>
      <c r="I1160">
        <v>42</v>
      </c>
      <c r="J1160">
        <v>0</v>
      </c>
      <c r="K1160" t="str">
        <f t="shared" si="36"/>
        <v>Middle-Aged</v>
      </c>
      <c r="L1160" t="str">
        <f t="shared" si="37"/>
        <v>Obese</v>
      </c>
    </row>
    <row r="1161" spans="1:12" x14ac:dyDescent="0.2">
      <c r="A1161">
        <v>1160</v>
      </c>
      <c r="B1161">
        <v>5</v>
      </c>
      <c r="C1161">
        <v>166</v>
      </c>
      <c r="D1161">
        <v>76</v>
      </c>
      <c r="E1161">
        <v>0</v>
      </c>
      <c r="F1161">
        <v>0</v>
      </c>
      <c r="G1161">
        <v>45.7</v>
      </c>
      <c r="H1161">
        <v>0.34</v>
      </c>
      <c r="I1161">
        <v>27</v>
      </c>
      <c r="J1161">
        <v>1</v>
      </c>
      <c r="K1161" t="str">
        <f t="shared" si="36"/>
        <v>Young</v>
      </c>
      <c r="L1161" t="str">
        <f t="shared" si="37"/>
        <v>Obese</v>
      </c>
    </row>
    <row r="1162" spans="1:12" x14ac:dyDescent="0.2">
      <c r="A1162">
        <v>1161</v>
      </c>
      <c r="B1162">
        <v>1</v>
      </c>
      <c r="C1162">
        <v>131</v>
      </c>
      <c r="D1162">
        <v>64</v>
      </c>
      <c r="E1162">
        <v>14</v>
      </c>
      <c r="F1162">
        <v>415</v>
      </c>
      <c r="G1162">
        <v>23.7</v>
      </c>
      <c r="H1162">
        <v>0.38900000000000001</v>
      </c>
      <c r="I1162">
        <v>21</v>
      </c>
      <c r="J1162">
        <v>0</v>
      </c>
      <c r="K1162" t="str">
        <f t="shared" si="36"/>
        <v>Young</v>
      </c>
      <c r="L1162" t="str">
        <f t="shared" si="37"/>
        <v>Normal</v>
      </c>
    </row>
    <row r="1163" spans="1:12" x14ac:dyDescent="0.2">
      <c r="A1163">
        <v>1162</v>
      </c>
      <c r="B1163">
        <v>4</v>
      </c>
      <c r="C1163">
        <v>116</v>
      </c>
      <c r="D1163">
        <v>72</v>
      </c>
      <c r="E1163">
        <v>12</v>
      </c>
      <c r="F1163">
        <v>87</v>
      </c>
      <c r="G1163">
        <v>22.1</v>
      </c>
      <c r="H1163">
        <v>0.46300000000000002</v>
      </c>
      <c r="I1163">
        <v>37</v>
      </c>
      <c r="J1163">
        <v>0</v>
      </c>
      <c r="K1163" t="str">
        <f t="shared" si="36"/>
        <v>Middle-Aged</v>
      </c>
      <c r="L1163" t="str">
        <f t="shared" si="37"/>
        <v>Normal</v>
      </c>
    </row>
    <row r="1164" spans="1:12" x14ac:dyDescent="0.2">
      <c r="A1164">
        <v>1163</v>
      </c>
      <c r="B1164">
        <v>4</v>
      </c>
      <c r="C1164">
        <v>158</v>
      </c>
      <c r="D1164">
        <v>78</v>
      </c>
      <c r="E1164">
        <v>0</v>
      </c>
      <c r="F1164">
        <v>0</v>
      </c>
      <c r="G1164">
        <v>32.9</v>
      </c>
      <c r="H1164">
        <v>0.80300000000000005</v>
      </c>
      <c r="I1164">
        <v>31</v>
      </c>
      <c r="J1164">
        <v>1</v>
      </c>
      <c r="K1164" t="str">
        <f t="shared" si="36"/>
        <v>Middle-Aged</v>
      </c>
      <c r="L1164" t="str">
        <f t="shared" si="37"/>
        <v>Obese</v>
      </c>
    </row>
    <row r="1165" spans="1:12" x14ac:dyDescent="0.2">
      <c r="A1165">
        <v>1164</v>
      </c>
      <c r="B1165">
        <v>2</v>
      </c>
      <c r="C1165">
        <v>127</v>
      </c>
      <c r="D1165">
        <v>58</v>
      </c>
      <c r="E1165">
        <v>24</v>
      </c>
      <c r="F1165">
        <v>275</v>
      </c>
      <c r="G1165">
        <v>27.7</v>
      </c>
      <c r="H1165">
        <v>1.6</v>
      </c>
      <c r="I1165">
        <v>25</v>
      </c>
      <c r="J1165">
        <v>0</v>
      </c>
      <c r="K1165" t="str">
        <f t="shared" si="36"/>
        <v>Young</v>
      </c>
      <c r="L1165" t="str">
        <f t="shared" si="37"/>
        <v>Overweight</v>
      </c>
    </row>
    <row r="1166" spans="1:12" x14ac:dyDescent="0.2">
      <c r="A1166">
        <v>1165</v>
      </c>
      <c r="B1166">
        <v>3</v>
      </c>
      <c r="C1166">
        <v>96</v>
      </c>
      <c r="D1166">
        <v>56</v>
      </c>
      <c r="E1166">
        <v>34</v>
      </c>
      <c r="F1166">
        <v>115</v>
      </c>
      <c r="G1166">
        <v>24.7</v>
      </c>
      <c r="H1166">
        <v>0.94399999999999995</v>
      </c>
      <c r="I1166">
        <v>39</v>
      </c>
      <c r="J1166">
        <v>0</v>
      </c>
      <c r="K1166" t="str">
        <f t="shared" si="36"/>
        <v>Middle-Aged</v>
      </c>
      <c r="L1166" t="str">
        <f t="shared" si="37"/>
        <v>Normal</v>
      </c>
    </row>
    <row r="1167" spans="1:12" x14ac:dyDescent="0.2">
      <c r="A1167">
        <v>1166</v>
      </c>
      <c r="B1167">
        <v>0</v>
      </c>
      <c r="C1167">
        <v>131</v>
      </c>
      <c r="D1167">
        <v>66</v>
      </c>
      <c r="E1167">
        <v>40</v>
      </c>
      <c r="F1167">
        <v>0</v>
      </c>
      <c r="G1167">
        <v>34.299999999999997</v>
      </c>
      <c r="H1167">
        <v>0.19600000000000001</v>
      </c>
      <c r="I1167">
        <v>22</v>
      </c>
      <c r="J1167">
        <v>1</v>
      </c>
      <c r="K1167" t="str">
        <f t="shared" si="36"/>
        <v>Young</v>
      </c>
      <c r="L1167" t="str">
        <f t="shared" si="37"/>
        <v>Obese</v>
      </c>
    </row>
    <row r="1168" spans="1:12" x14ac:dyDescent="0.2">
      <c r="A1168">
        <v>1167</v>
      </c>
      <c r="B1168">
        <v>3</v>
      </c>
      <c r="C1168">
        <v>82</v>
      </c>
      <c r="D1168">
        <v>70</v>
      </c>
      <c r="E1168">
        <v>0</v>
      </c>
      <c r="F1168">
        <v>0</v>
      </c>
      <c r="G1168">
        <v>21.1</v>
      </c>
      <c r="H1168">
        <v>0.38900000000000001</v>
      </c>
      <c r="I1168">
        <v>25</v>
      </c>
      <c r="J1168">
        <v>0</v>
      </c>
      <c r="K1168" t="str">
        <f t="shared" si="36"/>
        <v>Young</v>
      </c>
      <c r="L1168" t="str">
        <f t="shared" si="37"/>
        <v>Normal</v>
      </c>
    </row>
    <row r="1169" spans="1:12" x14ac:dyDescent="0.2">
      <c r="A1169">
        <v>1168</v>
      </c>
      <c r="B1169">
        <v>3</v>
      </c>
      <c r="C1169">
        <v>193</v>
      </c>
      <c r="D1169">
        <v>70</v>
      </c>
      <c r="E1169">
        <v>31</v>
      </c>
      <c r="F1169">
        <v>0</v>
      </c>
      <c r="G1169">
        <v>34.9</v>
      </c>
      <c r="H1169">
        <v>0.24099999999999999</v>
      </c>
      <c r="I1169">
        <v>25</v>
      </c>
      <c r="J1169">
        <v>1</v>
      </c>
      <c r="K1169" t="str">
        <f t="shared" si="36"/>
        <v>Young</v>
      </c>
      <c r="L1169" t="str">
        <f t="shared" si="37"/>
        <v>Obese</v>
      </c>
    </row>
    <row r="1170" spans="1:12" x14ac:dyDescent="0.2">
      <c r="A1170">
        <v>1169</v>
      </c>
      <c r="B1170">
        <v>4</v>
      </c>
      <c r="C1170">
        <v>95</v>
      </c>
      <c r="D1170">
        <v>64</v>
      </c>
      <c r="E1170">
        <v>0</v>
      </c>
      <c r="F1170">
        <v>0</v>
      </c>
      <c r="G1170">
        <v>32</v>
      </c>
      <c r="H1170">
        <v>0.161</v>
      </c>
      <c r="I1170">
        <v>31</v>
      </c>
      <c r="J1170">
        <v>1</v>
      </c>
      <c r="K1170" t="str">
        <f t="shared" si="36"/>
        <v>Middle-Aged</v>
      </c>
      <c r="L1170" t="str">
        <f t="shared" si="37"/>
        <v>Obese</v>
      </c>
    </row>
    <row r="1171" spans="1:12" x14ac:dyDescent="0.2">
      <c r="A1171">
        <v>1170</v>
      </c>
      <c r="B1171">
        <v>6</v>
      </c>
      <c r="C1171">
        <v>137</v>
      </c>
      <c r="D1171">
        <v>61</v>
      </c>
      <c r="E1171">
        <v>0</v>
      </c>
      <c r="F1171">
        <v>0</v>
      </c>
      <c r="G1171">
        <v>24.2</v>
      </c>
      <c r="H1171">
        <v>0.151</v>
      </c>
      <c r="I1171">
        <v>55</v>
      </c>
      <c r="J1171">
        <v>0</v>
      </c>
      <c r="K1171" t="str">
        <f t="shared" si="36"/>
        <v>Senior</v>
      </c>
      <c r="L1171" t="str">
        <f t="shared" si="37"/>
        <v>Normal</v>
      </c>
    </row>
    <row r="1172" spans="1:12" x14ac:dyDescent="0.2">
      <c r="A1172">
        <v>1171</v>
      </c>
      <c r="B1172">
        <v>5</v>
      </c>
      <c r="C1172">
        <v>136</v>
      </c>
      <c r="D1172">
        <v>84</v>
      </c>
      <c r="E1172">
        <v>41</v>
      </c>
      <c r="F1172">
        <v>88</v>
      </c>
      <c r="G1172">
        <v>35</v>
      </c>
      <c r="H1172">
        <v>0.28599999999999998</v>
      </c>
      <c r="I1172">
        <v>35</v>
      </c>
      <c r="J1172">
        <v>1</v>
      </c>
      <c r="K1172" t="str">
        <f t="shared" si="36"/>
        <v>Middle-Aged</v>
      </c>
      <c r="L1172" t="str">
        <f t="shared" si="37"/>
        <v>Obese</v>
      </c>
    </row>
    <row r="1173" spans="1:12" x14ac:dyDescent="0.2">
      <c r="A1173">
        <v>1172</v>
      </c>
      <c r="B1173">
        <v>9</v>
      </c>
      <c r="C1173">
        <v>72</v>
      </c>
      <c r="D1173">
        <v>78</v>
      </c>
      <c r="E1173">
        <v>25</v>
      </c>
      <c r="F1173">
        <v>0</v>
      </c>
      <c r="G1173">
        <v>31.6</v>
      </c>
      <c r="H1173">
        <v>0.28000000000000003</v>
      </c>
      <c r="I1173">
        <v>38</v>
      </c>
      <c r="J1173">
        <v>0</v>
      </c>
      <c r="K1173" t="str">
        <f t="shared" si="36"/>
        <v>Middle-Aged</v>
      </c>
      <c r="L1173" t="str">
        <f t="shared" si="37"/>
        <v>Obese</v>
      </c>
    </row>
    <row r="1174" spans="1:12" x14ac:dyDescent="0.2">
      <c r="A1174">
        <v>1173</v>
      </c>
      <c r="B1174">
        <v>5</v>
      </c>
      <c r="C1174">
        <v>168</v>
      </c>
      <c r="D1174">
        <v>64</v>
      </c>
      <c r="E1174">
        <v>0</v>
      </c>
      <c r="F1174">
        <v>0</v>
      </c>
      <c r="G1174">
        <v>32.9</v>
      </c>
      <c r="H1174">
        <v>0.13500000000000001</v>
      </c>
      <c r="I1174">
        <v>41</v>
      </c>
      <c r="J1174">
        <v>1</v>
      </c>
      <c r="K1174" t="str">
        <f t="shared" si="36"/>
        <v>Middle-Aged</v>
      </c>
      <c r="L1174" t="str">
        <f t="shared" si="37"/>
        <v>Obese</v>
      </c>
    </row>
    <row r="1175" spans="1:12" x14ac:dyDescent="0.2">
      <c r="A1175">
        <v>1174</v>
      </c>
      <c r="B1175">
        <v>2</v>
      </c>
      <c r="C1175">
        <v>123</v>
      </c>
      <c r="D1175">
        <v>48</v>
      </c>
      <c r="E1175">
        <v>32</v>
      </c>
      <c r="F1175">
        <v>165</v>
      </c>
      <c r="G1175">
        <v>42.1</v>
      </c>
      <c r="H1175">
        <v>0.52</v>
      </c>
      <c r="I1175">
        <v>26</v>
      </c>
      <c r="J1175">
        <v>0</v>
      </c>
      <c r="K1175" t="str">
        <f t="shared" si="36"/>
        <v>Young</v>
      </c>
      <c r="L1175" t="str">
        <f t="shared" si="37"/>
        <v>Obese</v>
      </c>
    </row>
    <row r="1176" spans="1:12" x14ac:dyDescent="0.2">
      <c r="A1176">
        <v>1175</v>
      </c>
      <c r="B1176">
        <v>4</v>
      </c>
      <c r="C1176">
        <v>115</v>
      </c>
      <c r="D1176">
        <v>72</v>
      </c>
      <c r="E1176">
        <v>0</v>
      </c>
      <c r="F1176">
        <v>0</v>
      </c>
      <c r="G1176">
        <v>28.9</v>
      </c>
      <c r="H1176">
        <v>0.376</v>
      </c>
      <c r="I1176">
        <v>46</v>
      </c>
      <c r="J1176">
        <v>1</v>
      </c>
      <c r="K1176" t="str">
        <f t="shared" si="36"/>
        <v>Senior</v>
      </c>
      <c r="L1176" t="str">
        <f t="shared" si="37"/>
        <v>Overweight</v>
      </c>
    </row>
    <row r="1177" spans="1:12" x14ac:dyDescent="0.2">
      <c r="A1177">
        <v>1176</v>
      </c>
      <c r="B1177">
        <v>0</v>
      </c>
      <c r="C1177">
        <v>101</v>
      </c>
      <c r="D1177">
        <v>62</v>
      </c>
      <c r="E1177">
        <v>0</v>
      </c>
      <c r="F1177">
        <v>0</v>
      </c>
      <c r="G1177">
        <v>21.9</v>
      </c>
      <c r="H1177">
        <v>0.33600000000000002</v>
      </c>
      <c r="I1177">
        <v>25</v>
      </c>
      <c r="J1177">
        <v>0</v>
      </c>
      <c r="K1177" t="str">
        <f t="shared" si="36"/>
        <v>Young</v>
      </c>
      <c r="L1177" t="str">
        <f t="shared" si="37"/>
        <v>Normal</v>
      </c>
    </row>
    <row r="1178" spans="1:12" x14ac:dyDescent="0.2">
      <c r="A1178">
        <v>1177</v>
      </c>
      <c r="B1178">
        <v>8</v>
      </c>
      <c r="C1178">
        <v>197</v>
      </c>
      <c r="D1178">
        <v>74</v>
      </c>
      <c r="E1178">
        <v>0</v>
      </c>
      <c r="F1178">
        <v>0</v>
      </c>
      <c r="G1178">
        <v>25.9</v>
      </c>
      <c r="H1178">
        <v>1.1910000000000001</v>
      </c>
      <c r="I1178">
        <v>39</v>
      </c>
      <c r="J1178">
        <v>1</v>
      </c>
      <c r="K1178" t="str">
        <f t="shared" si="36"/>
        <v>Middle-Aged</v>
      </c>
      <c r="L1178" t="str">
        <f t="shared" si="37"/>
        <v>Overweight</v>
      </c>
    </row>
    <row r="1179" spans="1:12" x14ac:dyDescent="0.2">
      <c r="A1179">
        <v>1178</v>
      </c>
      <c r="B1179">
        <v>1</v>
      </c>
      <c r="C1179">
        <v>172</v>
      </c>
      <c r="D1179">
        <v>68</v>
      </c>
      <c r="E1179">
        <v>49</v>
      </c>
      <c r="F1179">
        <v>579</v>
      </c>
      <c r="G1179">
        <v>42.4</v>
      </c>
      <c r="H1179">
        <v>0.70199999999999996</v>
      </c>
      <c r="I1179">
        <v>28</v>
      </c>
      <c r="J1179">
        <v>1</v>
      </c>
      <c r="K1179" t="str">
        <f t="shared" si="36"/>
        <v>Young</v>
      </c>
      <c r="L1179" t="str">
        <f t="shared" si="37"/>
        <v>Obese</v>
      </c>
    </row>
    <row r="1180" spans="1:12" x14ac:dyDescent="0.2">
      <c r="A1180">
        <v>1179</v>
      </c>
      <c r="B1180">
        <v>6</v>
      </c>
      <c r="C1180">
        <v>102</v>
      </c>
      <c r="D1180">
        <v>90</v>
      </c>
      <c r="E1180">
        <v>39</v>
      </c>
      <c r="F1180">
        <v>0</v>
      </c>
      <c r="G1180">
        <v>35.700000000000003</v>
      </c>
      <c r="H1180">
        <v>0.67400000000000004</v>
      </c>
      <c r="I1180">
        <v>28</v>
      </c>
      <c r="J1180">
        <v>0</v>
      </c>
      <c r="K1180" t="str">
        <f t="shared" si="36"/>
        <v>Young</v>
      </c>
      <c r="L1180" t="str">
        <f t="shared" si="37"/>
        <v>Obese</v>
      </c>
    </row>
    <row r="1181" spans="1:12" x14ac:dyDescent="0.2">
      <c r="A1181">
        <v>1180</v>
      </c>
      <c r="B1181">
        <v>1</v>
      </c>
      <c r="C1181">
        <v>112</v>
      </c>
      <c r="D1181">
        <v>72</v>
      </c>
      <c r="E1181">
        <v>30</v>
      </c>
      <c r="F1181">
        <v>176</v>
      </c>
      <c r="G1181">
        <v>34.4</v>
      </c>
      <c r="H1181">
        <v>0.52800000000000002</v>
      </c>
      <c r="I1181">
        <v>25</v>
      </c>
      <c r="J1181">
        <v>0</v>
      </c>
      <c r="K1181" t="str">
        <f t="shared" si="36"/>
        <v>Young</v>
      </c>
      <c r="L1181" t="str">
        <f t="shared" si="37"/>
        <v>Obese</v>
      </c>
    </row>
    <row r="1182" spans="1:12" x14ac:dyDescent="0.2">
      <c r="A1182">
        <v>1181</v>
      </c>
      <c r="B1182">
        <v>1</v>
      </c>
      <c r="C1182">
        <v>143</v>
      </c>
      <c r="D1182">
        <v>84</v>
      </c>
      <c r="E1182">
        <v>23</v>
      </c>
      <c r="F1182">
        <v>310</v>
      </c>
      <c r="G1182">
        <v>42.4</v>
      </c>
      <c r="H1182">
        <v>1.0760000000000001</v>
      </c>
      <c r="I1182">
        <v>22</v>
      </c>
      <c r="J1182">
        <v>0</v>
      </c>
      <c r="K1182" t="str">
        <f t="shared" si="36"/>
        <v>Young</v>
      </c>
      <c r="L1182" t="str">
        <f t="shared" si="37"/>
        <v>Obese</v>
      </c>
    </row>
    <row r="1183" spans="1:12" x14ac:dyDescent="0.2">
      <c r="A1183">
        <v>1182</v>
      </c>
      <c r="B1183">
        <v>1</v>
      </c>
      <c r="C1183">
        <v>143</v>
      </c>
      <c r="D1183">
        <v>74</v>
      </c>
      <c r="E1183">
        <v>22</v>
      </c>
      <c r="F1183">
        <v>61</v>
      </c>
      <c r="G1183">
        <v>26.2</v>
      </c>
      <c r="H1183">
        <v>0.25600000000000001</v>
      </c>
      <c r="I1183">
        <v>21</v>
      </c>
      <c r="J1183">
        <v>0</v>
      </c>
      <c r="K1183" t="str">
        <f t="shared" si="36"/>
        <v>Young</v>
      </c>
      <c r="L1183" t="str">
        <f t="shared" si="37"/>
        <v>Overweight</v>
      </c>
    </row>
    <row r="1184" spans="1:12" x14ac:dyDescent="0.2">
      <c r="A1184">
        <v>1183</v>
      </c>
      <c r="B1184">
        <v>0</v>
      </c>
      <c r="C1184">
        <v>138</v>
      </c>
      <c r="D1184">
        <v>60</v>
      </c>
      <c r="E1184">
        <v>35</v>
      </c>
      <c r="F1184">
        <v>167</v>
      </c>
      <c r="G1184">
        <v>34.6</v>
      </c>
      <c r="H1184">
        <v>0.53400000000000003</v>
      </c>
      <c r="I1184">
        <v>21</v>
      </c>
      <c r="J1184">
        <v>1</v>
      </c>
      <c r="K1184" t="str">
        <f t="shared" si="36"/>
        <v>Young</v>
      </c>
      <c r="L1184" t="str">
        <f t="shared" si="37"/>
        <v>Obese</v>
      </c>
    </row>
    <row r="1185" spans="1:12" x14ac:dyDescent="0.2">
      <c r="A1185">
        <v>1184</v>
      </c>
      <c r="B1185">
        <v>3</v>
      </c>
      <c r="C1185">
        <v>173</v>
      </c>
      <c r="D1185">
        <v>84</v>
      </c>
      <c r="E1185">
        <v>33</v>
      </c>
      <c r="F1185">
        <v>474</v>
      </c>
      <c r="G1185">
        <v>35.700000000000003</v>
      </c>
      <c r="H1185">
        <v>0.25800000000000001</v>
      </c>
      <c r="I1185">
        <v>22</v>
      </c>
      <c r="J1185">
        <v>1</v>
      </c>
      <c r="K1185" t="str">
        <f t="shared" si="36"/>
        <v>Young</v>
      </c>
      <c r="L1185" t="str">
        <f t="shared" si="37"/>
        <v>Obese</v>
      </c>
    </row>
    <row r="1186" spans="1:12" x14ac:dyDescent="0.2">
      <c r="A1186">
        <v>1185</v>
      </c>
      <c r="B1186">
        <v>1</v>
      </c>
      <c r="C1186">
        <v>97</v>
      </c>
      <c r="D1186">
        <v>68</v>
      </c>
      <c r="E1186">
        <v>21</v>
      </c>
      <c r="F1186">
        <v>0</v>
      </c>
      <c r="G1186">
        <v>27.2</v>
      </c>
      <c r="H1186">
        <v>1.095</v>
      </c>
      <c r="I1186">
        <v>22</v>
      </c>
      <c r="J1186">
        <v>0</v>
      </c>
      <c r="K1186" t="str">
        <f t="shared" si="36"/>
        <v>Young</v>
      </c>
      <c r="L1186" t="str">
        <f t="shared" si="37"/>
        <v>Overweight</v>
      </c>
    </row>
    <row r="1187" spans="1:12" x14ac:dyDescent="0.2">
      <c r="A1187">
        <v>1186</v>
      </c>
      <c r="B1187">
        <v>4</v>
      </c>
      <c r="C1187">
        <v>144</v>
      </c>
      <c r="D1187">
        <v>82</v>
      </c>
      <c r="E1187">
        <v>32</v>
      </c>
      <c r="F1187">
        <v>0</v>
      </c>
      <c r="G1187">
        <v>38.5</v>
      </c>
      <c r="H1187">
        <v>0.55400000000000005</v>
      </c>
      <c r="I1187">
        <v>37</v>
      </c>
      <c r="J1187">
        <v>1</v>
      </c>
      <c r="K1187" t="str">
        <f t="shared" si="36"/>
        <v>Middle-Aged</v>
      </c>
      <c r="L1187" t="str">
        <f t="shared" si="37"/>
        <v>Obese</v>
      </c>
    </row>
    <row r="1188" spans="1:12" x14ac:dyDescent="0.2">
      <c r="A1188">
        <v>1187</v>
      </c>
      <c r="B1188">
        <v>1</v>
      </c>
      <c r="C1188">
        <v>83</v>
      </c>
      <c r="D1188">
        <v>68</v>
      </c>
      <c r="E1188">
        <v>0</v>
      </c>
      <c r="F1188">
        <v>0</v>
      </c>
      <c r="G1188">
        <v>18.2</v>
      </c>
      <c r="H1188">
        <v>0.624</v>
      </c>
      <c r="I1188">
        <v>27</v>
      </c>
      <c r="J1188">
        <v>0</v>
      </c>
      <c r="K1188" t="str">
        <f t="shared" si="36"/>
        <v>Young</v>
      </c>
      <c r="L1188" t="str">
        <f t="shared" si="37"/>
        <v>Underweight</v>
      </c>
    </row>
    <row r="1189" spans="1:12" x14ac:dyDescent="0.2">
      <c r="A1189">
        <v>1188</v>
      </c>
      <c r="B1189">
        <v>3</v>
      </c>
      <c r="C1189">
        <v>129</v>
      </c>
      <c r="D1189">
        <v>64</v>
      </c>
      <c r="E1189">
        <v>29</v>
      </c>
      <c r="F1189">
        <v>115</v>
      </c>
      <c r="G1189">
        <v>26.4</v>
      </c>
      <c r="H1189">
        <v>0.219</v>
      </c>
      <c r="I1189">
        <v>28</v>
      </c>
      <c r="J1189">
        <v>1</v>
      </c>
      <c r="K1189" t="str">
        <f t="shared" si="36"/>
        <v>Young</v>
      </c>
      <c r="L1189" t="str">
        <f t="shared" si="37"/>
        <v>Overweight</v>
      </c>
    </row>
    <row r="1190" spans="1:12" x14ac:dyDescent="0.2">
      <c r="A1190">
        <v>1189</v>
      </c>
      <c r="B1190">
        <v>1</v>
      </c>
      <c r="C1190">
        <v>119</v>
      </c>
      <c r="D1190">
        <v>88</v>
      </c>
      <c r="E1190">
        <v>41</v>
      </c>
      <c r="F1190">
        <v>170</v>
      </c>
      <c r="G1190">
        <v>45.3</v>
      </c>
      <c r="H1190">
        <v>0.50700000000000001</v>
      </c>
      <c r="I1190">
        <v>26</v>
      </c>
      <c r="J1190">
        <v>0</v>
      </c>
      <c r="K1190" t="str">
        <f t="shared" si="36"/>
        <v>Young</v>
      </c>
      <c r="L1190" t="str">
        <f t="shared" si="37"/>
        <v>Obese</v>
      </c>
    </row>
    <row r="1191" spans="1:12" x14ac:dyDescent="0.2">
      <c r="A1191">
        <v>1190</v>
      </c>
      <c r="B1191">
        <v>2</v>
      </c>
      <c r="C1191">
        <v>94</v>
      </c>
      <c r="D1191">
        <v>68</v>
      </c>
      <c r="E1191">
        <v>18</v>
      </c>
      <c r="F1191">
        <v>76</v>
      </c>
      <c r="G1191">
        <v>26</v>
      </c>
      <c r="H1191">
        <v>0.56100000000000005</v>
      </c>
      <c r="I1191">
        <v>21</v>
      </c>
      <c r="J1191">
        <v>0</v>
      </c>
      <c r="K1191" t="str">
        <f t="shared" si="36"/>
        <v>Young</v>
      </c>
      <c r="L1191" t="str">
        <f t="shared" si="37"/>
        <v>Overweight</v>
      </c>
    </row>
    <row r="1192" spans="1:12" x14ac:dyDescent="0.2">
      <c r="A1192">
        <v>1191</v>
      </c>
      <c r="B1192">
        <v>0</v>
      </c>
      <c r="C1192">
        <v>102</v>
      </c>
      <c r="D1192">
        <v>64</v>
      </c>
      <c r="E1192">
        <v>46</v>
      </c>
      <c r="F1192">
        <v>78</v>
      </c>
      <c r="G1192">
        <v>40.6</v>
      </c>
      <c r="H1192">
        <v>0.496</v>
      </c>
      <c r="I1192">
        <v>21</v>
      </c>
      <c r="J1192">
        <v>0</v>
      </c>
      <c r="K1192" t="str">
        <f t="shared" si="36"/>
        <v>Young</v>
      </c>
      <c r="L1192" t="str">
        <f t="shared" si="37"/>
        <v>Obese</v>
      </c>
    </row>
    <row r="1193" spans="1:12" x14ac:dyDescent="0.2">
      <c r="A1193">
        <v>1192</v>
      </c>
      <c r="B1193">
        <v>2</v>
      </c>
      <c r="C1193">
        <v>115</v>
      </c>
      <c r="D1193">
        <v>64</v>
      </c>
      <c r="E1193">
        <v>22</v>
      </c>
      <c r="F1193">
        <v>0</v>
      </c>
      <c r="G1193">
        <v>30.8</v>
      </c>
      <c r="H1193">
        <v>0.42099999999999999</v>
      </c>
      <c r="I1193">
        <v>21</v>
      </c>
      <c r="J1193">
        <v>0</v>
      </c>
      <c r="K1193" t="str">
        <f t="shared" si="36"/>
        <v>Young</v>
      </c>
      <c r="L1193" t="str">
        <f t="shared" si="37"/>
        <v>Obese</v>
      </c>
    </row>
    <row r="1194" spans="1:12" x14ac:dyDescent="0.2">
      <c r="A1194">
        <v>1193</v>
      </c>
      <c r="B1194">
        <v>8</v>
      </c>
      <c r="C1194">
        <v>151</v>
      </c>
      <c r="D1194">
        <v>78</v>
      </c>
      <c r="E1194">
        <v>32</v>
      </c>
      <c r="F1194">
        <v>210</v>
      </c>
      <c r="G1194">
        <v>42.9</v>
      </c>
      <c r="H1194">
        <v>0.51600000000000001</v>
      </c>
      <c r="I1194">
        <v>36</v>
      </c>
      <c r="J1194">
        <v>1</v>
      </c>
      <c r="K1194" t="str">
        <f t="shared" si="36"/>
        <v>Middle-Aged</v>
      </c>
      <c r="L1194" t="str">
        <f t="shared" si="37"/>
        <v>Obese</v>
      </c>
    </row>
    <row r="1195" spans="1:12" x14ac:dyDescent="0.2">
      <c r="A1195">
        <v>1194</v>
      </c>
      <c r="B1195">
        <v>4</v>
      </c>
      <c r="C1195">
        <v>184</v>
      </c>
      <c r="D1195">
        <v>78</v>
      </c>
      <c r="E1195">
        <v>39</v>
      </c>
      <c r="F1195">
        <v>277</v>
      </c>
      <c r="G1195">
        <v>37</v>
      </c>
      <c r="H1195">
        <v>0.26400000000000001</v>
      </c>
      <c r="I1195">
        <v>31</v>
      </c>
      <c r="J1195">
        <v>1</v>
      </c>
      <c r="K1195" t="str">
        <f t="shared" si="36"/>
        <v>Middle-Aged</v>
      </c>
      <c r="L1195" t="str">
        <f t="shared" si="37"/>
        <v>Obese</v>
      </c>
    </row>
    <row r="1196" spans="1:12" x14ac:dyDescent="0.2">
      <c r="A1196">
        <v>1195</v>
      </c>
      <c r="B1196">
        <v>0</v>
      </c>
      <c r="C1196">
        <v>94</v>
      </c>
      <c r="D1196">
        <v>121</v>
      </c>
      <c r="E1196">
        <v>0</v>
      </c>
      <c r="F1196">
        <v>0</v>
      </c>
      <c r="G1196">
        <v>121</v>
      </c>
      <c r="H1196">
        <v>0.25600000000000001</v>
      </c>
      <c r="I1196">
        <v>25</v>
      </c>
      <c r="J1196">
        <v>0</v>
      </c>
      <c r="K1196" t="str">
        <f t="shared" si="36"/>
        <v>Young</v>
      </c>
      <c r="L1196" t="str">
        <f t="shared" si="37"/>
        <v>Obese</v>
      </c>
    </row>
    <row r="1197" spans="1:12" x14ac:dyDescent="0.2">
      <c r="A1197">
        <v>1196</v>
      </c>
      <c r="B1197">
        <v>1</v>
      </c>
      <c r="C1197">
        <v>181</v>
      </c>
      <c r="D1197">
        <v>64</v>
      </c>
      <c r="E1197">
        <v>30</v>
      </c>
      <c r="F1197">
        <v>180</v>
      </c>
      <c r="G1197">
        <v>34.1</v>
      </c>
      <c r="H1197">
        <v>0.32800000000000001</v>
      </c>
      <c r="I1197">
        <v>38</v>
      </c>
      <c r="J1197">
        <v>1</v>
      </c>
      <c r="K1197" t="str">
        <f t="shared" si="36"/>
        <v>Middle-Aged</v>
      </c>
      <c r="L1197" t="str">
        <f t="shared" si="37"/>
        <v>Obese</v>
      </c>
    </row>
    <row r="1198" spans="1:12" x14ac:dyDescent="0.2">
      <c r="A1198">
        <v>1197</v>
      </c>
      <c r="B1198">
        <v>0</v>
      </c>
      <c r="C1198">
        <v>135</v>
      </c>
      <c r="D1198">
        <v>94</v>
      </c>
      <c r="E1198">
        <v>46</v>
      </c>
      <c r="F1198">
        <v>145</v>
      </c>
      <c r="G1198">
        <v>40.6</v>
      </c>
      <c r="H1198">
        <v>0.28399999999999997</v>
      </c>
      <c r="I1198">
        <v>26</v>
      </c>
      <c r="J1198">
        <v>0</v>
      </c>
      <c r="K1198" t="str">
        <f t="shared" si="36"/>
        <v>Young</v>
      </c>
      <c r="L1198" t="str">
        <f t="shared" si="37"/>
        <v>Obese</v>
      </c>
    </row>
    <row r="1199" spans="1:12" x14ac:dyDescent="0.2">
      <c r="A1199">
        <v>1198</v>
      </c>
      <c r="B1199">
        <v>1</v>
      </c>
      <c r="C1199">
        <v>95</v>
      </c>
      <c r="D1199">
        <v>82</v>
      </c>
      <c r="E1199">
        <v>25</v>
      </c>
      <c r="F1199">
        <v>180</v>
      </c>
      <c r="G1199">
        <v>35</v>
      </c>
      <c r="H1199">
        <v>0.23300000000000001</v>
      </c>
      <c r="I1199">
        <v>43</v>
      </c>
      <c r="J1199">
        <v>1</v>
      </c>
      <c r="K1199" t="str">
        <f t="shared" si="36"/>
        <v>Middle-Aged</v>
      </c>
      <c r="L1199" t="str">
        <f t="shared" si="37"/>
        <v>Obese</v>
      </c>
    </row>
    <row r="1200" spans="1:12" x14ac:dyDescent="0.2">
      <c r="A1200">
        <v>1199</v>
      </c>
      <c r="B1200">
        <v>2</v>
      </c>
      <c r="C1200">
        <v>99</v>
      </c>
      <c r="D1200">
        <v>121</v>
      </c>
      <c r="E1200">
        <v>0</v>
      </c>
      <c r="F1200">
        <v>0</v>
      </c>
      <c r="G1200">
        <v>22.2</v>
      </c>
      <c r="H1200">
        <v>0.108</v>
      </c>
      <c r="I1200">
        <v>23</v>
      </c>
      <c r="J1200">
        <v>0</v>
      </c>
      <c r="K1200" t="str">
        <f t="shared" si="36"/>
        <v>Young</v>
      </c>
      <c r="L1200" t="str">
        <f t="shared" si="37"/>
        <v>Normal</v>
      </c>
    </row>
    <row r="1201" spans="1:12" x14ac:dyDescent="0.2">
      <c r="A1201">
        <v>1200</v>
      </c>
      <c r="B1201">
        <v>3</v>
      </c>
      <c r="C1201">
        <v>89</v>
      </c>
      <c r="D1201">
        <v>74</v>
      </c>
      <c r="E1201">
        <v>16</v>
      </c>
      <c r="F1201">
        <v>85</v>
      </c>
      <c r="G1201">
        <v>30.4</v>
      </c>
      <c r="H1201">
        <v>0.55100000000000005</v>
      </c>
      <c r="I1201">
        <v>38</v>
      </c>
      <c r="J1201">
        <v>0</v>
      </c>
      <c r="K1201" t="str">
        <f t="shared" si="36"/>
        <v>Middle-Aged</v>
      </c>
      <c r="L1201" t="str">
        <f t="shared" si="37"/>
        <v>Obese</v>
      </c>
    </row>
    <row r="1202" spans="1:12" x14ac:dyDescent="0.2">
      <c r="A1202">
        <v>1201</v>
      </c>
      <c r="B1202">
        <v>1</v>
      </c>
      <c r="C1202">
        <v>80</v>
      </c>
      <c r="D1202">
        <v>74</v>
      </c>
      <c r="E1202">
        <v>11</v>
      </c>
      <c r="F1202">
        <v>60</v>
      </c>
      <c r="G1202">
        <v>30</v>
      </c>
      <c r="H1202">
        <v>0.52700000000000002</v>
      </c>
      <c r="I1202">
        <v>22</v>
      </c>
      <c r="J1202">
        <v>0</v>
      </c>
      <c r="K1202" t="str">
        <f t="shared" si="36"/>
        <v>Young</v>
      </c>
      <c r="L1202" t="str">
        <f t="shared" si="37"/>
        <v>Obese</v>
      </c>
    </row>
    <row r="1203" spans="1:12" x14ac:dyDescent="0.2">
      <c r="A1203">
        <v>1202</v>
      </c>
      <c r="B1203">
        <v>2</v>
      </c>
      <c r="C1203">
        <v>139</v>
      </c>
      <c r="D1203">
        <v>75</v>
      </c>
      <c r="E1203">
        <v>0</v>
      </c>
      <c r="F1203">
        <v>0</v>
      </c>
      <c r="G1203">
        <v>25.6</v>
      </c>
      <c r="H1203">
        <v>0.16700000000000001</v>
      </c>
      <c r="I1203">
        <v>29</v>
      </c>
      <c r="J1203">
        <v>0</v>
      </c>
      <c r="K1203" t="str">
        <f t="shared" si="36"/>
        <v>Young</v>
      </c>
      <c r="L1203" t="str">
        <f t="shared" si="37"/>
        <v>Overweight</v>
      </c>
    </row>
    <row r="1204" spans="1:12" x14ac:dyDescent="0.2">
      <c r="A1204">
        <v>1203</v>
      </c>
      <c r="B1204">
        <v>1</v>
      </c>
      <c r="C1204">
        <v>90</v>
      </c>
      <c r="D1204">
        <v>68</v>
      </c>
      <c r="E1204">
        <v>8</v>
      </c>
      <c r="F1204">
        <v>0</v>
      </c>
      <c r="G1204">
        <v>24.5</v>
      </c>
      <c r="H1204">
        <v>1.1379999999999999</v>
      </c>
      <c r="I1204">
        <v>36</v>
      </c>
      <c r="J1204">
        <v>0</v>
      </c>
      <c r="K1204" t="str">
        <f t="shared" si="36"/>
        <v>Middle-Aged</v>
      </c>
      <c r="L1204" t="str">
        <f t="shared" si="37"/>
        <v>Normal</v>
      </c>
    </row>
    <row r="1205" spans="1:12" x14ac:dyDescent="0.2">
      <c r="A1205">
        <v>1204</v>
      </c>
      <c r="B1205">
        <v>0</v>
      </c>
      <c r="C1205">
        <v>141</v>
      </c>
      <c r="D1205">
        <v>121</v>
      </c>
      <c r="E1205">
        <v>0</v>
      </c>
      <c r="F1205">
        <v>0</v>
      </c>
      <c r="G1205">
        <v>42.4</v>
      </c>
      <c r="H1205">
        <v>0.20499999999999999</v>
      </c>
      <c r="I1205">
        <v>29</v>
      </c>
      <c r="J1205">
        <v>1</v>
      </c>
      <c r="K1205" t="str">
        <f t="shared" si="36"/>
        <v>Young</v>
      </c>
      <c r="L1205" t="str">
        <f t="shared" si="37"/>
        <v>Obese</v>
      </c>
    </row>
    <row r="1206" spans="1:12" x14ac:dyDescent="0.2">
      <c r="A1206">
        <v>1205</v>
      </c>
      <c r="B1206">
        <v>12</v>
      </c>
      <c r="C1206">
        <v>140</v>
      </c>
      <c r="D1206">
        <v>85</v>
      </c>
      <c r="E1206">
        <v>33</v>
      </c>
      <c r="F1206">
        <v>0</v>
      </c>
      <c r="G1206">
        <v>37.4</v>
      </c>
      <c r="H1206">
        <v>0.24399999999999999</v>
      </c>
      <c r="I1206">
        <v>41</v>
      </c>
      <c r="J1206">
        <v>0</v>
      </c>
      <c r="K1206" t="str">
        <f t="shared" si="36"/>
        <v>Middle-Aged</v>
      </c>
      <c r="L1206" t="str">
        <f t="shared" si="37"/>
        <v>Obese</v>
      </c>
    </row>
    <row r="1207" spans="1:12" x14ac:dyDescent="0.2">
      <c r="A1207">
        <v>1206</v>
      </c>
      <c r="B1207">
        <v>5</v>
      </c>
      <c r="C1207">
        <v>147</v>
      </c>
      <c r="D1207">
        <v>75</v>
      </c>
      <c r="E1207">
        <v>0</v>
      </c>
      <c r="F1207">
        <v>0</v>
      </c>
      <c r="G1207">
        <v>29.9</v>
      </c>
      <c r="H1207">
        <v>0.434</v>
      </c>
      <c r="I1207">
        <v>28</v>
      </c>
      <c r="J1207">
        <v>0</v>
      </c>
      <c r="K1207" t="str">
        <f t="shared" si="36"/>
        <v>Young</v>
      </c>
      <c r="L1207" t="str">
        <f t="shared" si="37"/>
        <v>Overweight</v>
      </c>
    </row>
    <row r="1208" spans="1:12" x14ac:dyDescent="0.2">
      <c r="A1208">
        <v>1207</v>
      </c>
      <c r="B1208">
        <v>1</v>
      </c>
      <c r="C1208">
        <v>97</v>
      </c>
      <c r="D1208">
        <v>70</v>
      </c>
      <c r="E1208">
        <v>15</v>
      </c>
      <c r="F1208">
        <v>0</v>
      </c>
      <c r="G1208">
        <v>18.2</v>
      </c>
      <c r="H1208">
        <v>0.14699999999999999</v>
      </c>
      <c r="I1208">
        <v>21</v>
      </c>
      <c r="J1208">
        <v>0</v>
      </c>
      <c r="K1208" t="str">
        <f t="shared" si="36"/>
        <v>Young</v>
      </c>
      <c r="L1208" t="str">
        <f t="shared" si="37"/>
        <v>Underweight</v>
      </c>
    </row>
    <row r="1209" spans="1:12" x14ac:dyDescent="0.2">
      <c r="A1209">
        <v>1208</v>
      </c>
      <c r="B1209">
        <v>6</v>
      </c>
      <c r="C1209">
        <v>107</v>
      </c>
      <c r="D1209">
        <v>88</v>
      </c>
      <c r="E1209">
        <v>0</v>
      </c>
      <c r="F1209">
        <v>0</v>
      </c>
      <c r="G1209">
        <v>36.799999999999997</v>
      </c>
      <c r="H1209">
        <v>0.72699999999999998</v>
      </c>
      <c r="I1209">
        <v>31</v>
      </c>
      <c r="J1209">
        <v>0</v>
      </c>
      <c r="K1209" t="str">
        <f t="shared" si="36"/>
        <v>Middle-Aged</v>
      </c>
      <c r="L1209" t="str">
        <f t="shared" si="37"/>
        <v>Obese</v>
      </c>
    </row>
    <row r="1210" spans="1:12" x14ac:dyDescent="0.2">
      <c r="A1210">
        <v>1209</v>
      </c>
      <c r="B1210">
        <v>0</v>
      </c>
      <c r="C1210">
        <v>189</v>
      </c>
      <c r="D1210">
        <v>104</v>
      </c>
      <c r="E1210">
        <v>25</v>
      </c>
      <c r="F1210">
        <v>0</v>
      </c>
      <c r="G1210">
        <v>34.299999999999997</v>
      </c>
      <c r="H1210">
        <v>0.435</v>
      </c>
      <c r="I1210">
        <v>41</v>
      </c>
      <c r="J1210">
        <v>1</v>
      </c>
      <c r="K1210" t="str">
        <f t="shared" si="36"/>
        <v>Middle-Aged</v>
      </c>
      <c r="L1210" t="str">
        <f t="shared" si="37"/>
        <v>Obese</v>
      </c>
    </row>
    <row r="1211" spans="1:12" x14ac:dyDescent="0.2">
      <c r="A1211">
        <v>1210</v>
      </c>
      <c r="B1211">
        <v>2</v>
      </c>
      <c r="C1211">
        <v>83</v>
      </c>
      <c r="D1211">
        <v>66</v>
      </c>
      <c r="E1211">
        <v>23</v>
      </c>
      <c r="F1211">
        <v>50</v>
      </c>
      <c r="G1211">
        <v>32.200000000000003</v>
      </c>
      <c r="H1211">
        <v>0.497</v>
      </c>
      <c r="I1211">
        <v>22</v>
      </c>
      <c r="J1211">
        <v>0</v>
      </c>
      <c r="K1211" t="str">
        <f t="shared" si="36"/>
        <v>Young</v>
      </c>
      <c r="L1211" t="str">
        <f t="shared" si="37"/>
        <v>Obese</v>
      </c>
    </row>
    <row r="1212" spans="1:12" x14ac:dyDescent="0.2">
      <c r="A1212">
        <v>1211</v>
      </c>
      <c r="B1212">
        <v>4</v>
      </c>
      <c r="C1212">
        <v>117</v>
      </c>
      <c r="D1212">
        <v>64</v>
      </c>
      <c r="E1212">
        <v>27</v>
      </c>
      <c r="F1212">
        <v>120</v>
      </c>
      <c r="G1212">
        <v>33.200000000000003</v>
      </c>
      <c r="H1212">
        <v>0.23</v>
      </c>
      <c r="I1212">
        <v>24</v>
      </c>
      <c r="J1212">
        <v>0</v>
      </c>
      <c r="K1212" t="str">
        <f t="shared" si="36"/>
        <v>Young</v>
      </c>
      <c r="L1212" t="str">
        <f t="shared" si="37"/>
        <v>Obese</v>
      </c>
    </row>
    <row r="1213" spans="1:12" x14ac:dyDescent="0.2">
      <c r="A1213">
        <v>1212</v>
      </c>
      <c r="B1213">
        <v>8</v>
      </c>
      <c r="C1213">
        <v>108</v>
      </c>
      <c r="D1213">
        <v>70</v>
      </c>
      <c r="E1213">
        <v>0</v>
      </c>
      <c r="F1213">
        <v>0</v>
      </c>
      <c r="G1213">
        <v>30.5</v>
      </c>
      <c r="H1213">
        <v>0.95499999999999996</v>
      </c>
      <c r="I1213">
        <v>33</v>
      </c>
      <c r="J1213">
        <v>1</v>
      </c>
      <c r="K1213" t="str">
        <f t="shared" si="36"/>
        <v>Middle-Aged</v>
      </c>
      <c r="L1213" t="str">
        <f t="shared" si="37"/>
        <v>Obese</v>
      </c>
    </row>
    <row r="1214" spans="1:12" x14ac:dyDescent="0.2">
      <c r="A1214">
        <v>1213</v>
      </c>
      <c r="B1214">
        <v>4</v>
      </c>
      <c r="C1214">
        <v>117</v>
      </c>
      <c r="D1214">
        <v>62</v>
      </c>
      <c r="E1214">
        <v>12</v>
      </c>
      <c r="F1214">
        <v>0</v>
      </c>
      <c r="G1214">
        <v>29.7</v>
      </c>
      <c r="H1214">
        <v>0.38</v>
      </c>
      <c r="I1214">
        <v>30</v>
      </c>
      <c r="J1214">
        <v>1</v>
      </c>
      <c r="K1214" t="str">
        <f t="shared" si="36"/>
        <v>Middle-Aged</v>
      </c>
      <c r="L1214" t="str">
        <f t="shared" si="37"/>
        <v>Overweight</v>
      </c>
    </row>
    <row r="1215" spans="1:12" x14ac:dyDescent="0.2">
      <c r="A1215">
        <v>1214</v>
      </c>
      <c r="B1215">
        <v>0</v>
      </c>
      <c r="C1215">
        <v>180</v>
      </c>
      <c r="D1215">
        <v>78</v>
      </c>
      <c r="E1215">
        <v>63</v>
      </c>
      <c r="F1215">
        <v>14</v>
      </c>
      <c r="G1215">
        <v>59.4</v>
      </c>
      <c r="H1215">
        <v>2.42</v>
      </c>
      <c r="I1215">
        <v>25</v>
      </c>
      <c r="J1215">
        <v>1</v>
      </c>
      <c r="K1215" t="str">
        <f t="shared" si="36"/>
        <v>Young</v>
      </c>
      <c r="L1215" t="str">
        <f t="shared" si="37"/>
        <v>Obese</v>
      </c>
    </row>
    <row r="1216" spans="1:12" x14ac:dyDescent="0.2">
      <c r="A1216">
        <v>1215</v>
      </c>
      <c r="B1216">
        <v>1</v>
      </c>
      <c r="C1216">
        <v>100</v>
      </c>
      <c r="D1216">
        <v>72</v>
      </c>
      <c r="E1216">
        <v>12</v>
      </c>
      <c r="F1216">
        <v>70</v>
      </c>
      <c r="G1216">
        <v>25.3</v>
      </c>
      <c r="H1216">
        <v>0.65800000000000003</v>
      </c>
      <c r="I1216">
        <v>28</v>
      </c>
      <c r="J1216">
        <v>0</v>
      </c>
      <c r="K1216" t="str">
        <f t="shared" si="36"/>
        <v>Young</v>
      </c>
      <c r="L1216" t="str">
        <f t="shared" si="37"/>
        <v>Overweight</v>
      </c>
    </row>
    <row r="1217" spans="1:12" x14ac:dyDescent="0.2">
      <c r="A1217">
        <v>1216</v>
      </c>
      <c r="B1217">
        <v>0</v>
      </c>
      <c r="C1217">
        <v>95</v>
      </c>
      <c r="D1217">
        <v>80</v>
      </c>
      <c r="E1217">
        <v>45</v>
      </c>
      <c r="F1217">
        <v>92</v>
      </c>
      <c r="G1217">
        <v>36.5</v>
      </c>
      <c r="H1217">
        <v>0.33</v>
      </c>
      <c r="I1217">
        <v>26</v>
      </c>
      <c r="J1217">
        <v>0</v>
      </c>
      <c r="K1217" t="str">
        <f t="shared" si="36"/>
        <v>Young</v>
      </c>
      <c r="L1217" t="str">
        <f t="shared" si="37"/>
        <v>Obese</v>
      </c>
    </row>
    <row r="1218" spans="1:12" x14ac:dyDescent="0.2">
      <c r="A1218">
        <v>1217</v>
      </c>
      <c r="B1218">
        <v>0</v>
      </c>
      <c r="C1218">
        <v>104</v>
      </c>
      <c r="D1218">
        <v>64</v>
      </c>
      <c r="E1218">
        <v>37</v>
      </c>
      <c r="F1218">
        <v>64</v>
      </c>
      <c r="G1218">
        <v>33.6</v>
      </c>
      <c r="H1218">
        <v>0.51</v>
      </c>
      <c r="I1218">
        <v>22</v>
      </c>
      <c r="J1218">
        <v>1</v>
      </c>
      <c r="K1218" t="str">
        <f t="shared" si="36"/>
        <v>Young</v>
      </c>
      <c r="L1218" t="str">
        <f t="shared" si="37"/>
        <v>Obese</v>
      </c>
    </row>
    <row r="1219" spans="1:12" x14ac:dyDescent="0.2">
      <c r="A1219">
        <v>1218</v>
      </c>
      <c r="B1219">
        <v>0</v>
      </c>
      <c r="C1219">
        <v>120</v>
      </c>
      <c r="D1219">
        <v>74</v>
      </c>
      <c r="E1219">
        <v>18</v>
      </c>
      <c r="F1219">
        <v>63</v>
      </c>
      <c r="G1219">
        <v>30.5</v>
      </c>
      <c r="H1219">
        <v>0.28499999999999998</v>
      </c>
      <c r="I1219">
        <v>26</v>
      </c>
      <c r="J1219">
        <v>0</v>
      </c>
      <c r="K1219" t="str">
        <f t="shared" ref="K1219:K1282" si="38">IF(I1219&lt;30, "Young", IF( I1219&lt;45, "Middle-Aged", "Senior"))</f>
        <v>Young</v>
      </c>
      <c r="L1219" t="str">
        <f t="shared" ref="L1219:L1282" si="39">IF(G1219&lt;18.5, "Underweight", IF(G1219&lt;25, "Normal", IF(G1219&lt;30, "Overweight", "Obese")))</f>
        <v>Obese</v>
      </c>
    </row>
    <row r="1220" spans="1:12" x14ac:dyDescent="0.2">
      <c r="A1220">
        <v>1219</v>
      </c>
      <c r="B1220">
        <v>1</v>
      </c>
      <c r="C1220">
        <v>82</v>
      </c>
      <c r="D1220">
        <v>64</v>
      </c>
      <c r="E1220">
        <v>13</v>
      </c>
      <c r="F1220">
        <v>95</v>
      </c>
      <c r="G1220">
        <v>21.2</v>
      </c>
      <c r="H1220">
        <v>0.41499999999999998</v>
      </c>
      <c r="I1220">
        <v>23</v>
      </c>
      <c r="J1220">
        <v>0</v>
      </c>
      <c r="K1220" t="str">
        <f t="shared" si="38"/>
        <v>Young</v>
      </c>
      <c r="L1220" t="str">
        <f t="shared" si="39"/>
        <v>Normal</v>
      </c>
    </row>
    <row r="1221" spans="1:12" x14ac:dyDescent="0.2">
      <c r="A1221">
        <v>1220</v>
      </c>
      <c r="B1221">
        <v>2</v>
      </c>
      <c r="C1221">
        <v>134</v>
      </c>
      <c r="D1221">
        <v>70</v>
      </c>
      <c r="E1221">
        <v>0</v>
      </c>
      <c r="F1221">
        <v>0</v>
      </c>
      <c r="G1221">
        <v>28.9</v>
      </c>
      <c r="H1221">
        <v>0.54200000000000004</v>
      </c>
      <c r="I1221">
        <v>23</v>
      </c>
      <c r="J1221">
        <v>1</v>
      </c>
      <c r="K1221" t="str">
        <f t="shared" si="38"/>
        <v>Young</v>
      </c>
      <c r="L1221" t="str">
        <f t="shared" si="39"/>
        <v>Overweight</v>
      </c>
    </row>
    <row r="1222" spans="1:12" x14ac:dyDescent="0.2">
      <c r="A1222">
        <v>1221</v>
      </c>
      <c r="B1222">
        <v>0</v>
      </c>
      <c r="C1222">
        <v>91</v>
      </c>
      <c r="D1222">
        <v>68</v>
      </c>
      <c r="E1222">
        <v>32</v>
      </c>
      <c r="F1222">
        <v>210</v>
      </c>
      <c r="G1222">
        <v>39.9</v>
      </c>
      <c r="H1222">
        <v>0.38100000000000001</v>
      </c>
      <c r="I1222">
        <v>25</v>
      </c>
      <c r="J1222">
        <v>0</v>
      </c>
      <c r="K1222" t="str">
        <f t="shared" si="38"/>
        <v>Young</v>
      </c>
      <c r="L1222" t="str">
        <f t="shared" si="39"/>
        <v>Obese</v>
      </c>
    </row>
    <row r="1223" spans="1:12" x14ac:dyDescent="0.2">
      <c r="A1223">
        <v>1222</v>
      </c>
      <c r="B1223">
        <v>2</v>
      </c>
      <c r="C1223">
        <v>119</v>
      </c>
      <c r="D1223">
        <v>121</v>
      </c>
      <c r="E1223">
        <v>0</v>
      </c>
      <c r="F1223">
        <v>0</v>
      </c>
      <c r="G1223">
        <v>19.600000000000001</v>
      </c>
      <c r="H1223">
        <v>0.83199999999999996</v>
      </c>
      <c r="I1223">
        <v>72</v>
      </c>
      <c r="J1223">
        <v>0</v>
      </c>
      <c r="K1223" t="str">
        <f t="shared" si="38"/>
        <v>Senior</v>
      </c>
      <c r="L1223" t="str">
        <f t="shared" si="39"/>
        <v>Normal</v>
      </c>
    </row>
    <row r="1224" spans="1:12" x14ac:dyDescent="0.2">
      <c r="A1224">
        <v>1223</v>
      </c>
      <c r="B1224">
        <v>2</v>
      </c>
      <c r="C1224">
        <v>100</v>
      </c>
      <c r="D1224">
        <v>54</v>
      </c>
      <c r="E1224">
        <v>28</v>
      </c>
      <c r="F1224">
        <v>105</v>
      </c>
      <c r="G1224">
        <v>37.799999999999997</v>
      </c>
      <c r="H1224">
        <v>0.498</v>
      </c>
      <c r="I1224">
        <v>24</v>
      </c>
      <c r="J1224">
        <v>0</v>
      </c>
      <c r="K1224" t="str">
        <f t="shared" si="38"/>
        <v>Young</v>
      </c>
      <c r="L1224" t="str">
        <f t="shared" si="39"/>
        <v>Obese</v>
      </c>
    </row>
    <row r="1225" spans="1:12" x14ac:dyDescent="0.2">
      <c r="A1225">
        <v>1224</v>
      </c>
      <c r="B1225">
        <v>14</v>
      </c>
      <c r="C1225">
        <v>175</v>
      </c>
      <c r="D1225">
        <v>62</v>
      </c>
      <c r="E1225">
        <v>30</v>
      </c>
      <c r="F1225">
        <v>0</v>
      </c>
      <c r="G1225">
        <v>33.6</v>
      </c>
      <c r="H1225">
        <v>0.21199999999999999</v>
      </c>
      <c r="I1225">
        <v>38</v>
      </c>
      <c r="J1225">
        <v>1</v>
      </c>
      <c r="K1225" t="str">
        <f t="shared" si="38"/>
        <v>Middle-Aged</v>
      </c>
      <c r="L1225" t="str">
        <f t="shared" si="39"/>
        <v>Obese</v>
      </c>
    </row>
    <row r="1226" spans="1:12" x14ac:dyDescent="0.2">
      <c r="A1226">
        <v>1225</v>
      </c>
      <c r="B1226">
        <v>1</v>
      </c>
      <c r="C1226">
        <v>135</v>
      </c>
      <c r="D1226">
        <v>54</v>
      </c>
      <c r="E1226">
        <v>0</v>
      </c>
      <c r="F1226">
        <v>0</v>
      </c>
      <c r="G1226">
        <v>26.7</v>
      </c>
      <c r="H1226">
        <v>0.68700000000000006</v>
      </c>
      <c r="I1226">
        <v>62</v>
      </c>
      <c r="J1226">
        <v>0</v>
      </c>
      <c r="K1226" t="str">
        <f t="shared" si="38"/>
        <v>Senior</v>
      </c>
      <c r="L1226" t="str">
        <f t="shared" si="39"/>
        <v>Overweight</v>
      </c>
    </row>
    <row r="1227" spans="1:12" x14ac:dyDescent="0.2">
      <c r="A1227">
        <v>1226</v>
      </c>
      <c r="B1227">
        <v>5</v>
      </c>
      <c r="C1227">
        <v>86</v>
      </c>
      <c r="D1227">
        <v>68</v>
      </c>
      <c r="E1227">
        <v>28</v>
      </c>
      <c r="F1227">
        <v>71</v>
      </c>
      <c r="G1227">
        <v>30.2</v>
      </c>
      <c r="H1227">
        <v>0.36399999999999999</v>
      </c>
      <c r="I1227">
        <v>24</v>
      </c>
      <c r="J1227">
        <v>0</v>
      </c>
      <c r="K1227" t="str">
        <f t="shared" si="38"/>
        <v>Young</v>
      </c>
      <c r="L1227" t="str">
        <f t="shared" si="39"/>
        <v>Obese</v>
      </c>
    </row>
    <row r="1228" spans="1:12" x14ac:dyDescent="0.2">
      <c r="A1228">
        <v>1227</v>
      </c>
      <c r="B1228">
        <v>10</v>
      </c>
      <c r="C1228">
        <v>148</v>
      </c>
      <c r="D1228">
        <v>84</v>
      </c>
      <c r="E1228">
        <v>48</v>
      </c>
      <c r="F1228">
        <v>237</v>
      </c>
      <c r="G1228">
        <v>37.6</v>
      </c>
      <c r="H1228">
        <v>1.0009999999999999</v>
      </c>
      <c r="I1228">
        <v>51</v>
      </c>
      <c r="J1228">
        <v>1</v>
      </c>
      <c r="K1228" t="str">
        <f t="shared" si="38"/>
        <v>Senior</v>
      </c>
      <c r="L1228" t="str">
        <f t="shared" si="39"/>
        <v>Obese</v>
      </c>
    </row>
    <row r="1229" spans="1:12" x14ac:dyDescent="0.2">
      <c r="A1229">
        <v>1228</v>
      </c>
      <c r="B1229">
        <v>9</v>
      </c>
      <c r="C1229">
        <v>134</v>
      </c>
      <c r="D1229">
        <v>74</v>
      </c>
      <c r="E1229">
        <v>33</v>
      </c>
      <c r="F1229">
        <v>60</v>
      </c>
      <c r="G1229">
        <v>25.9</v>
      </c>
      <c r="H1229">
        <v>0.46</v>
      </c>
      <c r="I1229">
        <v>81</v>
      </c>
      <c r="J1229">
        <v>0</v>
      </c>
      <c r="K1229" t="str">
        <f t="shared" si="38"/>
        <v>Senior</v>
      </c>
      <c r="L1229" t="str">
        <f t="shared" si="39"/>
        <v>Overweight</v>
      </c>
    </row>
    <row r="1230" spans="1:12" x14ac:dyDescent="0.2">
      <c r="A1230">
        <v>1229</v>
      </c>
      <c r="B1230">
        <v>9</v>
      </c>
      <c r="C1230">
        <v>120</v>
      </c>
      <c r="D1230">
        <v>72</v>
      </c>
      <c r="E1230">
        <v>22</v>
      </c>
      <c r="F1230">
        <v>56</v>
      </c>
      <c r="G1230">
        <v>20.8</v>
      </c>
      <c r="H1230">
        <v>0.73299999999999998</v>
      </c>
      <c r="I1230">
        <v>48</v>
      </c>
      <c r="J1230">
        <v>0</v>
      </c>
      <c r="K1230" t="str">
        <f t="shared" si="38"/>
        <v>Senior</v>
      </c>
      <c r="L1230" t="str">
        <f t="shared" si="39"/>
        <v>Normal</v>
      </c>
    </row>
    <row r="1231" spans="1:12" x14ac:dyDescent="0.2">
      <c r="A1231">
        <v>1230</v>
      </c>
      <c r="B1231">
        <v>1</v>
      </c>
      <c r="C1231">
        <v>71</v>
      </c>
      <c r="D1231">
        <v>62</v>
      </c>
      <c r="E1231">
        <v>0</v>
      </c>
      <c r="F1231">
        <v>0</v>
      </c>
      <c r="G1231">
        <v>21.8</v>
      </c>
      <c r="H1231">
        <v>0.41599999999999998</v>
      </c>
      <c r="I1231">
        <v>26</v>
      </c>
      <c r="J1231">
        <v>0</v>
      </c>
      <c r="K1231" t="str">
        <f t="shared" si="38"/>
        <v>Young</v>
      </c>
      <c r="L1231" t="str">
        <f t="shared" si="39"/>
        <v>Normal</v>
      </c>
    </row>
    <row r="1232" spans="1:12" x14ac:dyDescent="0.2">
      <c r="A1232">
        <v>1231</v>
      </c>
      <c r="B1232">
        <v>8</v>
      </c>
      <c r="C1232">
        <v>74</v>
      </c>
      <c r="D1232">
        <v>70</v>
      </c>
      <c r="E1232">
        <v>40</v>
      </c>
      <c r="F1232">
        <v>49</v>
      </c>
      <c r="G1232">
        <v>35.299999999999997</v>
      </c>
      <c r="H1232">
        <v>0.70499999999999996</v>
      </c>
      <c r="I1232">
        <v>39</v>
      </c>
      <c r="J1232">
        <v>0</v>
      </c>
      <c r="K1232" t="str">
        <f t="shared" si="38"/>
        <v>Middle-Aged</v>
      </c>
      <c r="L1232" t="str">
        <f t="shared" si="39"/>
        <v>Obese</v>
      </c>
    </row>
    <row r="1233" spans="1:12" x14ac:dyDescent="0.2">
      <c r="A1233">
        <v>1232</v>
      </c>
      <c r="B1233">
        <v>5</v>
      </c>
      <c r="C1233">
        <v>88</v>
      </c>
      <c r="D1233">
        <v>78</v>
      </c>
      <c r="E1233">
        <v>30</v>
      </c>
      <c r="F1233">
        <v>0</v>
      </c>
      <c r="G1233">
        <v>27.6</v>
      </c>
      <c r="H1233">
        <v>0.25800000000000001</v>
      </c>
      <c r="I1233">
        <v>37</v>
      </c>
      <c r="J1233">
        <v>0</v>
      </c>
      <c r="K1233" t="str">
        <f t="shared" si="38"/>
        <v>Middle-Aged</v>
      </c>
      <c r="L1233" t="str">
        <f t="shared" si="39"/>
        <v>Overweight</v>
      </c>
    </row>
    <row r="1234" spans="1:12" x14ac:dyDescent="0.2">
      <c r="A1234">
        <v>1233</v>
      </c>
      <c r="B1234">
        <v>10</v>
      </c>
      <c r="C1234">
        <v>115</v>
      </c>
      <c r="D1234">
        <v>98</v>
      </c>
      <c r="E1234">
        <v>0</v>
      </c>
      <c r="F1234">
        <v>0</v>
      </c>
      <c r="G1234">
        <v>24</v>
      </c>
      <c r="H1234">
        <v>1.022</v>
      </c>
      <c r="I1234">
        <v>34</v>
      </c>
      <c r="J1234">
        <v>0</v>
      </c>
      <c r="K1234" t="str">
        <f t="shared" si="38"/>
        <v>Middle-Aged</v>
      </c>
      <c r="L1234" t="str">
        <f t="shared" si="39"/>
        <v>Normal</v>
      </c>
    </row>
    <row r="1235" spans="1:12" x14ac:dyDescent="0.2">
      <c r="A1235">
        <v>1234</v>
      </c>
      <c r="B1235">
        <v>0</v>
      </c>
      <c r="C1235">
        <v>124</v>
      </c>
      <c r="D1235">
        <v>56</v>
      </c>
      <c r="E1235">
        <v>13</v>
      </c>
      <c r="F1235">
        <v>105</v>
      </c>
      <c r="G1235">
        <v>21.8</v>
      </c>
      <c r="H1235">
        <v>0.45200000000000001</v>
      </c>
      <c r="I1235">
        <v>21</v>
      </c>
      <c r="J1235">
        <v>0</v>
      </c>
      <c r="K1235" t="str">
        <f t="shared" si="38"/>
        <v>Young</v>
      </c>
      <c r="L1235" t="str">
        <f t="shared" si="39"/>
        <v>Normal</v>
      </c>
    </row>
    <row r="1236" spans="1:12" x14ac:dyDescent="0.2">
      <c r="A1236">
        <v>1235</v>
      </c>
      <c r="B1236">
        <v>0</v>
      </c>
      <c r="C1236">
        <v>74</v>
      </c>
      <c r="D1236">
        <v>52</v>
      </c>
      <c r="E1236">
        <v>10</v>
      </c>
      <c r="F1236">
        <v>36</v>
      </c>
      <c r="G1236">
        <v>27.8</v>
      </c>
      <c r="H1236">
        <v>0.26900000000000002</v>
      </c>
      <c r="I1236">
        <v>22</v>
      </c>
      <c r="J1236">
        <v>0</v>
      </c>
      <c r="K1236" t="str">
        <f t="shared" si="38"/>
        <v>Young</v>
      </c>
      <c r="L1236" t="str">
        <f t="shared" si="39"/>
        <v>Overweight</v>
      </c>
    </row>
    <row r="1237" spans="1:12" x14ac:dyDescent="0.2">
      <c r="A1237">
        <v>1236</v>
      </c>
      <c r="B1237">
        <v>0</v>
      </c>
      <c r="C1237">
        <v>97</v>
      </c>
      <c r="D1237">
        <v>64</v>
      </c>
      <c r="E1237">
        <v>36</v>
      </c>
      <c r="F1237">
        <v>100</v>
      </c>
      <c r="G1237">
        <v>36.799999999999997</v>
      </c>
      <c r="H1237">
        <v>0.6</v>
      </c>
      <c r="I1237">
        <v>25</v>
      </c>
      <c r="J1237">
        <v>0</v>
      </c>
      <c r="K1237" t="str">
        <f t="shared" si="38"/>
        <v>Young</v>
      </c>
      <c r="L1237" t="str">
        <f t="shared" si="39"/>
        <v>Obese</v>
      </c>
    </row>
    <row r="1238" spans="1:12" x14ac:dyDescent="0.2">
      <c r="A1238">
        <v>1237</v>
      </c>
      <c r="B1238">
        <v>8</v>
      </c>
      <c r="C1238">
        <v>120</v>
      </c>
      <c r="D1238">
        <v>121</v>
      </c>
      <c r="E1238">
        <v>0</v>
      </c>
      <c r="F1238">
        <v>0</v>
      </c>
      <c r="G1238">
        <v>30</v>
      </c>
      <c r="H1238">
        <v>0.183</v>
      </c>
      <c r="I1238">
        <v>38</v>
      </c>
      <c r="J1238">
        <v>1</v>
      </c>
      <c r="K1238" t="str">
        <f t="shared" si="38"/>
        <v>Middle-Aged</v>
      </c>
      <c r="L1238" t="str">
        <f t="shared" si="39"/>
        <v>Obese</v>
      </c>
    </row>
    <row r="1239" spans="1:12" x14ac:dyDescent="0.2">
      <c r="A1239">
        <v>1238</v>
      </c>
      <c r="B1239">
        <v>6</v>
      </c>
      <c r="C1239">
        <v>154</v>
      </c>
      <c r="D1239">
        <v>78</v>
      </c>
      <c r="E1239">
        <v>41</v>
      </c>
      <c r="F1239">
        <v>140</v>
      </c>
      <c r="G1239">
        <v>46.1</v>
      </c>
      <c r="H1239">
        <v>0.57099999999999995</v>
      </c>
      <c r="I1239">
        <v>27</v>
      </c>
      <c r="J1239">
        <v>0</v>
      </c>
      <c r="K1239" t="str">
        <f t="shared" si="38"/>
        <v>Young</v>
      </c>
      <c r="L1239" t="str">
        <f t="shared" si="39"/>
        <v>Obese</v>
      </c>
    </row>
    <row r="1240" spans="1:12" x14ac:dyDescent="0.2">
      <c r="A1240">
        <v>1239</v>
      </c>
      <c r="B1240">
        <v>1</v>
      </c>
      <c r="C1240">
        <v>144</v>
      </c>
      <c r="D1240">
        <v>82</v>
      </c>
      <c r="E1240">
        <v>40</v>
      </c>
      <c r="F1240">
        <v>0</v>
      </c>
      <c r="G1240">
        <v>41.3</v>
      </c>
      <c r="H1240">
        <v>0.60699999999999998</v>
      </c>
      <c r="I1240">
        <v>28</v>
      </c>
      <c r="J1240">
        <v>0</v>
      </c>
      <c r="K1240" t="str">
        <f t="shared" si="38"/>
        <v>Young</v>
      </c>
      <c r="L1240" t="str">
        <f t="shared" si="39"/>
        <v>Obese</v>
      </c>
    </row>
    <row r="1241" spans="1:12" x14ac:dyDescent="0.2">
      <c r="A1241">
        <v>1240</v>
      </c>
      <c r="B1241">
        <v>0</v>
      </c>
      <c r="C1241">
        <v>137</v>
      </c>
      <c r="D1241">
        <v>70</v>
      </c>
      <c r="E1241">
        <v>38</v>
      </c>
      <c r="F1241">
        <v>0</v>
      </c>
      <c r="G1241">
        <v>33.200000000000003</v>
      </c>
      <c r="H1241">
        <v>0.17</v>
      </c>
      <c r="I1241">
        <v>22</v>
      </c>
      <c r="J1241">
        <v>0</v>
      </c>
      <c r="K1241" t="str">
        <f t="shared" si="38"/>
        <v>Young</v>
      </c>
      <c r="L1241" t="str">
        <f t="shared" si="39"/>
        <v>Obese</v>
      </c>
    </row>
    <row r="1242" spans="1:12" x14ac:dyDescent="0.2">
      <c r="A1242">
        <v>1241</v>
      </c>
      <c r="B1242">
        <v>0</v>
      </c>
      <c r="C1242">
        <v>119</v>
      </c>
      <c r="D1242">
        <v>66</v>
      </c>
      <c r="E1242">
        <v>27</v>
      </c>
      <c r="F1242">
        <v>0</v>
      </c>
      <c r="G1242">
        <v>38.799999999999997</v>
      </c>
      <c r="H1242">
        <v>0.25900000000000001</v>
      </c>
      <c r="I1242">
        <v>22</v>
      </c>
      <c r="J1242">
        <v>0</v>
      </c>
      <c r="K1242" t="str">
        <f t="shared" si="38"/>
        <v>Young</v>
      </c>
      <c r="L1242" t="str">
        <f t="shared" si="39"/>
        <v>Obese</v>
      </c>
    </row>
    <row r="1243" spans="1:12" x14ac:dyDescent="0.2">
      <c r="A1243">
        <v>1242</v>
      </c>
      <c r="B1243">
        <v>7</v>
      </c>
      <c r="C1243">
        <v>136</v>
      </c>
      <c r="D1243">
        <v>90</v>
      </c>
      <c r="E1243">
        <v>0</v>
      </c>
      <c r="F1243">
        <v>0</v>
      </c>
      <c r="G1243">
        <v>29.9</v>
      </c>
      <c r="H1243">
        <v>0.21</v>
      </c>
      <c r="I1243">
        <v>50</v>
      </c>
      <c r="J1243">
        <v>0</v>
      </c>
      <c r="K1243" t="str">
        <f t="shared" si="38"/>
        <v>Senior</v>
      </c>
      <c r="L1243" t="str">
        <f t="shared" si="39"/>
        <v>Overweight</v>
      </c>
    </row>
    <row r="1244" spans="1:12" x14ac:dyDescent="0.2">
      <c r="A1244">
        <v>1243</v>
      </c>
      <c r="B1244">
        <v>4</v>
      </c>
      <c r="C1244">
        <v>114</v>
      </c>
      <c r="D1244">
        <v>64</v>
      </c>
      <c r="E1244">
        <v>0</v>
      </c>
      <c r="F1244">
        <v>0</v>
      </c>
      <c r="G1244">
        <v>28.9</v>
      </c>
      <c r="H1244">
        <v>0.126</v>
      </c>
      <c r="I1244">
        <v>24</v>
      </c>
      <c r="J1244">
        <v>0</v>
      </c>
      <c r="K1244" t="str">
        <f t="shared" si="38"/>
        <v>Young</v>
      </c>
      <c r="L1244" t="str">
        <f t="shared" si="39"/>
        <v>Overweight</v>
      </c>
    </row>
    <row r="1245" spans="1:12" x14ac:dyDescent="0.2">
      <c r="A1245">
        <v>1244</v>
      </c>
      <c r="B1245">
        <v>0</v>
      </c>
      <c r="C1245">
        <v>137</v>
      </c>
      <c r="D1245">
        <v>84</v>
      </c>
      <c r="E1245">
        <v>27</v>
      </c>
      <c r="F1245">
        <v>0</v>
      </c>
      <c r="G1245">
        <v>27.3</v>
      </c>
      <c r="H1245">
        <v>0.23100000000000001</v>
      </c>
      <c r="I1245">
        <v>59</v>
      </c>
      <c r="J1245">
        <v>0</v>
      </c>
      <c r="K1245" t="str">
        <f t="shared" si="38"/>
        <v>Senior</v>
      </c>
      <c r="L1245" t="str">
        <f t="shared" si="39"/>
        <v>Overweight</v>
      </c>
    </row>
    <row r="1246" spans="1:12" x14ac:dyDescent="0.2">
      <c r="A1246">
        <v>1245</v>
      </c>
      <c r="B1246">
        <v>2</v>
      </c>
      <c r="C1246">
        <v>105</v>
      </c>
      <c r="D1246">
        <v>80</v>
      </c>
      <c r="E1246">
        <v>45</v>
      </c>
      <c r="F1246">
        <v>191</v>
      </c>
      <c r="G1246">
        <v>33.700000000000003</v>
      </c>
      <c r="H1246">
        <v>0.71099999999999997</v>
      </c>
      <c r="I1246">
        <v>29</v>
      </c>
      <c r="J1246">
        <v>1</v>
      </c>
      <c r="K1246" t="str">
        <f t="shared" si="38"/>
        <v>Young</v>
      </c>
      <c r="L1246" t="str">
        <f t="shared" si="39"/>
        <v>Obese</v>
      </c>
    </row>
    <row r="1247" spans="1:12" x14ac:dyDescent="0.2">
      <c r="A1247">
        <v>1246</v>
      </c>
      <c r="B1247">
        <v>7</v>
      </c>
      <c r="C1247">
        <v>114</v>
      </c>
      <c r="D1247">
        <v>76</v>
      </c>
      <c r="E1247">
        <v>17</v>
      </c>
      <c r="F1247">
        <v>110</v>
      </c>
      <c r="G1247">
        <v>23.8</v>
      </c>
      <c r="H1247">
        <v>0.46600000000000003</v>
      </c>
      <c r="I1247">
        <v>31</v>
      </c>
      <c r="J1247">
        <v>0</v>
      </c>
      <c r="K1247" t="str">
        <f t="shared" si="38"/>
        <v>Middle-Aged</v>
      </c>
      <c r="L1247" t="str">
        <f t="shared" si="39"/>
        <v>Normal</v>
      </c>
    </row>
    <row r="1248" spans="1:12" x14ac:dyDescent="0.2">
      <c r="A1248">
        <v>1247</v>
      </c>
      <c r="B1248">
        <v>8</v>
      </c>
      <c r="C1248">
        <v>126</v>
      </c>
      <c r="D1248">
        <v>74</v>
      </c>
      <c r="E1248">
        <v>38</v>
      </c>
      <c r="F1248">
        <v>75</v>
      </c>
      <c r="G1248">
        <v>25.9</v>
      </c>
      <c r="H1248">
        <v>0.16200000000000001</v>
      </c>
      <c r="I1248">
        <v>39</v>
      </c>
      <c r="J1248">
        <v>0</v>
      </c>
      <c r="K1248" t="str">
        <f t="shared" si="38"/>
        <v>Middle-Aged</v>
      </c>
      <c r="L1248" t="str">
        <f t="shared" si="39"/>
        <v>Overweight</v>
      </c>
    </row>
    <row r="1249" spans="1:12" x14ac:dyDescent="0.2">
      <c r="A1249">
        <v>1248</v>
      </c>
      <c r="B1249">
        <v>4</v>
      </c>
      <c r="C1249">
        <v>132</v>
      </c>
      <c r="D1249">
        <v>86</v>
      </c>
      <c r="E1249">
        <v>31</v>
      </c>
      <c r="F1249">
        <v>0</v>
      </c>
      <c r="G1249">
        <v>28</v>
      </c>
      <c r="H1249">
        <v>0.41899999999999998</v>
      </c>
      <c r="I1249">
        <v>63</v>
      </c>
      <c r="J1249">
        <v>0</v>
      </c>
      <c r="K1249" t="str">
        <f t="shared" si="38"/>
        <v>Senior</v>
      </c>
      <c r="L1249" t="str">
        <f t="shared" si="39"/>
        <v>Overweight</v>
      </c>
    </row>
    <row r="1250" spans="1:12" x14ac:dyDescent="0.2">
      <c r="A1250">
        <v>1249</v>
      </c>
      <c r="B1250">
        <v>3</v>
      </c>
      <c r="C1250">
        <v>158</v>
      </c>
      <c r="D1250">
        <v>70</v>
      </c>
      <c r="E1250">
        <v>30</v>
      </c>
      <c r="F1250">
        <v>328</v>
      </c>
      <c r="G1250">
        <v>35.5</v>
      </c>
      <c r="H1250">
        <v>0.34399999999999997</v>
      </c>
      <c r="I1250">
        <v>35</v>
      </c>
      <c r="J1250">
        <v>1</v>
      </c>
      <c r="K1250" t="str">
        <f t="shared" si="38"/>
        <v>Middle-Aged</v>
      </c>
      <c r="L1250" t="str">
        <f t="shared" si="39"/>
        <v>Obese</v>
      </c>
    </row>
    <row r="1251" spans="1:12" x14ac:dyDescent="0.2">
      <c r="A1251">
        <v>1250</v>
      </c>
      <c r="B1251">
        <v>0</v>
      </c>
      <c r="C1251">
        <v>123</v>
      </c>
      <c r="D1251">
        <v>88</v>
      </c>
      <c r="E1251">
        <v>37</v>
      </c>
      <c r="F1251">
        <v>0</v>
      </c>
      <c r="G1251">
        <v>35.200000000000003</v>
      </c>
      <c r="H1251">
        <v>0.19700000000000001</v>
      </c>
      <c r="I1251">
        <v>29</v>
      </c>
      <c r="J1251">
        <v>0</v>
      </c>
      <c r="K1251" t="str">
        <f t="shared" si="38"/>
        <v>Young</v>
      </c>
      <c r="L1251" t="str">
        <f t="shared" si="39"/>
        <v>Obese</v>
      </c>
    </row>
    <row r="1252" spans="1:12" x14ac:dyDescent="0.2">
      <c r="A1252">
        <v>1251</v>
      </c>
      <c r="B1252">
        <v>4</v>
      </c>
      <c r="C1252">
        <v>85</v>
      </c>
      <c r="D1252">
        <v>58</v>
      </c>
      <c r="E1252">
        <v>22</v>
      </c>
      <c r="F1252">
        <v>49</v>
      </c>
      <c r="G1252">
        <v>27.8</v>
      </c>
      <c r="H1252">
        <v>0.30599999999999999</v>
      </c>
      <c r="I1252">
        <v>28</v>
      </c>
      <c r="J1252">
        <v>0</v>
      </c>
      <c r="K1252" t="str">
        <f t="shared" si="38"/>
        <v>Young</v>
      </c>
      <c r="L1252" t="str">
        <f t="shared" si="39"/>
        <v>Overweight</v>
      </c>
    </row>
    <row r="1253" spans="1:12" x14ac:dyDescent="0.2">
      <c r="A1253">
        <v>1252</v>
      </c>
      <c r="B1253">
        <v>0</v>
      </c>
      <c r="C1253">
        <v>84</v>
      </c>
      <c r="D1253">
        <v>82</v>
      </c>
      <c r="E1253">
        <v>31</v>
      </c>
      <c r="F1253">
        <v>125</v>
      </c>
      <c r="G1253">
        <v>38.200000000000003</v>
      </c>
      <c r="H1253">
        <v>0.23300000000000001</v>
      </c>
      <c r="I1253">
        <v>23</v>
      </c>
      <c r="J1253">
        <v>0</v>
      </c>
      <c r="K1253" t="str">
        <f t="shared" si="38"/>
        <v>Young</v>
      </c>
      <c r="L1253" t="str">
        <f t="shared" si="39"/>
        <v>Obese</v>
      </c>
    </row>
    <row r="1254" spans="1:12" x14ac:dyDescent="0.2">
      <c r="A1254">
        <v>1253</v>
      </c>
      <c r="B1254">
        <v>0</v>
      </c>
      <c r="C1254">
        <v>145</v>
      </c>
      <c r="D1254">
        <v>121</v>
      </c>
      <c r="E1254">
        <v>0</v>
      </c>
      <c r="F1254">
        <v>0</v>
      </c>
      <c r="G1254">
        <v>44.2</v>
      </c>
      <c r="H1254">
        <v>0.63</v>
      </c>
      <c r="I1254">
        <v>31</v>
      </c>
      <c r="J1254">
        <v>1</v>
      </c>
      <c r="K1254" t="str">
        <f t="shared" si="38"/>
        <v>Middle-Aged</v>
      </c>
      <c r="L1254" t="str">
        <f t="shared" si="39"/>
        <v>Obese</v>
      </c>
    </row>
    <row r="1255" spans="1:12" x14ac:dyDescent="0.2">
      <c r="A1255">
        <v>1254</v>
      </c>
      <c r="B1255">
        <v>0</v>
      </c>
      <c r="C1255">
        <v>135</v>
      </c>
      <c r="D1255">
        <v>68</v>
      </c>
      <c r="E1255">
        <v>42</v>
      </c>
      <c r="F1255">
        <v>250</v>
      </c>
      <c r="G1255">
        <v>42.3</v>
      </c>
      <c r="H1255">
        <v>0.36499999999999999</v>
      </c>
      <c r="I1255">
        <v>24</v>
      </c>
      <c r="J1255">
        <v>1</v>
      </c>
      <c r="K1255" t="str">
        <f t="shared" si="38"/>
        <v>Young</v>
      </c>
      <c r="L1255" t="str">
        <f t="shared" si="39"/>
        <v>Obese</v>
      </c>
    </row>
    <row r="1256" spans="1:12" x14ac:dyDescent="0.2">
      <c r="A1256">
        <v>1255</v>
      </c>
      <c r="B1256">
        <v>1</v>
      </c>
      <c r="C1256">
        <v>139</v>
      </c>
      <c r="D1256">
        <v>62</v>
      </c>
      <c r="E1256">
        <v>41</v>
      </c>
      <c r="F1256">
        <v>480</v>
      </c>
      <c r="G1256">
        <v>40.700000000000003</v>
      </c>
      <c r="H1256">
        <v>0.53600000000000003</v>
      </c>
      <c r="I1256">
        <v>21</v>
      </c>
      <c r="J1256">
        <v>0</v>
      </c>
      <c r="K1256" t="str">
        <f t="shared" si="38"/>
        <v>Young</v>
      </c>
      <c r="L1256" t="str">
        <f t="shared" si="39"/>
        <v>Obese</v>
      </c>
    </row>
    <row r="1257" spans="1:12" x14ac:dyDescent="0.2">
      <c r="A1257">
        <v>1256</v>
      </c>
      <c r="B1257">
        <v>0</v>
      </c>
      <c r="C1257">
        <v>173</v>
      </c>
      <c r="D1257">
        <v>78</v>
      </c>
      <c r="E1257">
        <v>32</v>
      </c>
      <c r="F1257">
        <v>265</v>
      </c>
      <c r="G1257">
        <v>46.5</v>
      </c>
      <c r="H1257">
        <v>1.159</v>
      </c>
      <c r="I1257">
        <v>58</v>
      </c>
      <c r="J1257">
        <v>0</v>
      </c>
      <c r="K1257" t="str">
        <f t="shared" si="38"/>
        <v>Senior</v>
      </c>
      <c r="L1257" t="str">
        <f t="shared" si="39"/>
        <v>Obese</v>
      </c>
    </row>
    <row r="1258" spans="1:12" x14ac:dyDescent="0.2">
      <c r="A1258">
        <v>1257</v>
      </c>
      <c r="B1258">
        <v>4</v>
      </c>
      <c r="C1258">
        <v>99</v>
      </c>
      <c r="D1258">
        <v>72</v>
      </c>
      <c r="E1258">
        <v>17</v>
      </c>
      <c r="F1258">
        <v>0</v>
      </c>
      <c r="G1258">
        <v>25.6</v>
      </c>
      <c r="H1258">
        <v>0.29399999999999998</v>
      </c>
      <c r="I1258">
        <v>28</v>
      </c>
      <c r="J1258">
        <v>0</v>
      </c>
      <c r="K1258" t="str">
        <f t="shared" si="38"/>
        <v>Young</v>
      </c>
      <c r="L1258" t="str">
        <f t="shared" si="39"/>
        <v>Overweight</v>
      </c>
    </row>
    <row r="1259" spans="1:12" x14ac:dyDescent="0.2">
      <c r="A1259">
        <v>1258</v>
      </c>
      <c r="B1259">
        <v>8</v>
      </c>
      <c r="C1259">
        <v>194</v>
      </c>
      <c r="D1259">
        <v>80</v>
      </c>
      <c r="E1259">
        <v>0</v>
      </c>
      <c r="F1259">
        <v>0</v>
      </c>
      <c r="G1259">
        <v>26.1</v>
      </c>
      <c r="H1259">
        <v>0.55100000000000005</v>
      </c>
      <c r="I1259">
        <v>67</v>
      </c>
      <c r="J1259">
        <v>0</v>
      </c>
      <c r="K1259" t="str">
        <f t="shared" si="38"/>
        <v>Senior</v>
      </c>
      <c r="L1259" t="str">
        <f t="shared" si="39"/>
        <v>Overweight</v>
      </c>
    </row>
    <row r="1260" spans="1:12" x14ac:dyDescent="0.2">
      <c r="A1260">
        <v>1259</v>
      </c>
      <c r="B1260">
        <v>2</v>
      </c>
      <c r="C1260">
        <v>83</v>
      </c>
      <c r="D1260">
        <v>65</v>
      </c>
      <c r="E1260">
        <v>28</v>
      </c>
      <c r="F1260">
        <v>66</v>
      </c>
      <c r="G1260">
        <v>36.799999999999997</v>
      </c>
      <c r="H1260">
        <v>0.629</v>
      </c>
      <c r="I1260">
        <v>24</v>
      </c>
      <c r="J1260">
        <v>0</v>
      </c>
      <c r="K1260" t="str">
        <f t="shared" si="38"/>
        <v>Young</v>
      </c>
      <c r="L1260" t="str">
        <f t="shared" si="39"/>
        <v>Obese</v>
      </c>
    </row>
    <row r="1261" spans="1:12" x14ac:dyDescent="0.2">
      <c r="A1261">
        <v>1260</v>
      </c>
      <c r="B1261">
        <v>2</v>
      </c>
      <c r="C1261">
        <v>89</v>
      </c>
      <c r="D1261">
        <v>90</v>
      </c>
      <c r="E1261">
        <v>30</v>
      </c>
      <c r="F1261">
        <v>0</v>
      </c>
      <c r="G1261">
        <v>33.5</v>
      </c>
      <c r="H1261">
        <v>0.29199999999999998</v>
      </c>
      <c r="I1261">
        <v>42</v>
      </c>
      <c r="J1261">
        <v>0</v>
      </c>
      <c r="K1261" t="str">
        <f t="shared" si="38"/>
        <v>Middle-Aged</v>
      </c>
      <c r="L1261" t="str">
        <f t="shared" si="39"/>
        <v>Obese</v>
      </c>
    </row>
    <row r="1262" spans="1:12" x14ac:dyDescent="0.2">
      <c r="A1262">
        <v>1261</v>
      </c>
      <c r="B1262">
        <v>4</v>
      </c>
      <c r="C1262">
        <v>99</v>
      </c>
      <c r="D1262">
        <v>68</v>
      </c>
      <c r="E1262">
        <v>38</v>
      </c>
      <c r="F1262">
        <v>0</v>
      </c>
      <c r="G1262">
        <v>32.799999999999997</v>
      </c>
      <c r="H1262">
        <v>0.14499999999999999</v>
      </c>
      <c r="I1262">
        <v>33</v>
      </c>
      <c r="J1262">
        <v>0</v>
      </c>
      <c r="K1262" t="str">
        <f t="shared" si="38"/>
        <v>Middle-Aged</v>
      </c>
      <c r="L1262" t="str">
        <f t="shared" si="39"/>
        <v>Obese</v>
      </c>
    </row>
    <row r="1263" spans="1:12" x14ac:dyDescent="0.2">
      <c r="A1263">
        <v>1262</v>
      </c>
      <c r="B1263">
        <v>4</v>
      </c>
      <c r="C1263">
        <v>125</v>
      </c>
      <c r="D1263">
        <v>70</v>
      </c>
      <c r="E1263">
        <v>18</v>
      </c>
      <c r="F1263">
        <v>122</v>
      </c>
      <c r="G1263">
        <v>28.9</v>
      </c>
      <c r="H1263">
        <v>1.1439999999999999</v>
      </c>
      <c r="I1263">
        <v>45</v>
      </c>
      <c r="J1263">
        <v>1</v>
      </c>
      <c r="K1263" t="str">
        <f t="shared" si="38"/>
        <v>Senior</v>
      </c>
      <c r="L1263" t="str">
        <f t="shared" si="39"/>
        <v>Overweight</v>
      </c>
    </row>
    <row r="1264" spans="1:12" x14ac:dyDescent="0.2">
      <c r="A1264">
        <v>1263</v>
      </c>
      <c r="B1264">
        <v>3</v>
      </c>
      <c r="C1264">
        <v>80</v>
      </c>
      <c r="D1264">
        <v>121</v>
      </c>
      <c r="E1264">
        <v>0</v>
      </c>
      <c r="F1264">
        <v>0</v>
      </c>
      <c r="G1264">
        <v>121</v>
      </c>
      <c r="H1264">
        <v>0.17399999999999999</v>
      </c>
      <c r="I1264">
        <v>22</v>
      </c>
      <c r="J1264">
        <v>0</v>
      </c>
      <c r="K1264" t="str">
        <f t="shared" si="38"/>
        <v>Young</v>
      </c>
      <c r="L1264" t="str">
        <f t="shared" si="39"/>
        <v>Obese</v>
      </c>
    </row>
    <row r="1265" spans="1:12" x14ac:dyDescent="0.2">
      <c r="A1265">
        <v>1264</v>
      </c>
      <c r="B1265">
        <v>6</v>
      </c>
      <c r="C1265">
        <v>166</v>
      </c>
      <c r="D1265">
        <v>74</v>
      </c>
      <c r="E1265">
        <v>0</v>
      </c>
      <c r="F1265">
        <v>0</v>
      </c>
      <c r="G1265">
        <v>26.6</v>
      </c>
      <c r="H1265">
        <v>0.30399999999999999</v>
      </c>
      <c r="I1265">
        <v>66</v>
      </c>
      <c r="J1265">
        <v>0</v>
      </c>
      <c r="K1265" t="str">
        <f t="shared" si="38"/>
        <v>Senior</v>
      </c>
      <c r="L1265" t="str">
        <f t="shared" si="39"/>
        <v>Overweight</v>
      </c>
    </row>
    <row r="1266" spans="1:12" x14ac:dyDescent="0.2">
      <c r="A1266">
        <v>1265</v>
      </c>
      <c r="B1266">
        <v>5</v>
      </c>
      <c r="C1266">
        <v>110</v>
      </c>
      <c r="D1266">
        <v>68</v>
      </c>
      <c r="E1266">
        <v>0</v>
      </c>
      <c r="F1266">
        <v>0</v>
      </c>
      <c r="G1266">
        <v>26</v>
      </c>
      <c r="H1266">
        <v>0.29199999999999998</v>
      </c>
      <c r="I1266">
        <v>30</v>
      </c>
      <c r="J1266">
        <v>0</v>
      </c>
      <c r="K1266" t="str">
        <f t="shared" si="38"/>
        <v>Middle-Aged</v>
      </c>
      <c r="L1266" t="str">
        <f t="shared" si="39"/>
        <v>Overweight</v>
      </c>
    </row>
    <row r="1267" spans="1:12" x14ac:dyDescent="0.2">
      <c r="A1267">
        <v>1266</v>
      </c>
      <c r="B1267">
        <v>2</v>
      </c>
      <c r="C1267">
        <v>81</v>
      </c>
      <c r="D1267">
        <v>72</v>
      </c>
      <c r="E1267">
        <v>15</v>
      </c>
      <c r="F1267">
        <v>76</v>
      </c>
      <c r="G1267">
        <v>30.1</v>
      </c>
      <c r="H1267">
        <v>0.54700000000000004</v>
      </c>
      <c r="I1267">
        <v>25</v>
      </c>
      <c r="J1267">
        <v>0</v>
      </c>
      <c r="K1267" t="str">
        <f t="shared" si="38"/>
        <v>Young</v>
      </c>
      <c r="L1267" t="str">
        <f t="shared" si="39"/>
        <v>Obese</v>
      </c>
    </row>
    <row r="1268" spans="1:12" x14ac:dyDescent="0.2">
      <c r="A1268">
        <v>1267</v>
      </c>
      <c r="B1268">
        <v>7</v>
      </c>
      <c r="C1268">
        <v>195</v>
      </c>
      <c r="D1268">
        <v>70</v>
      </c>
      <c r="E1268">
        <v>33</v>
      </c>
      <c r="F1268">
        <v>145</v>
      </c>
      <c r="G1268">
        <v>25.1</v>
      </c>
      <c r="H1268">
        <v>0.16300000000000001</v>
      </c>
      <c r="I1268">
        <v>55</v>
      </c>
      <c r="J1268">
        <v>1</v>
      </c>
      <c r="K1268" t="str">
        <f t="shared" si="38"/>
        <v>Senior</v>
      </c>
      <c r="L1268" t="str">
        <f t="shared" si="39"/>
        <v>Overweight</v>
      </c>
    </row>
    <row r="1269" spans="1:12" x14ac:dyDescent="0.2">
      <c r="A1269">
        <v>1268</v>
      </c>
      <c r="B1269">
        <v>6</v>
      </c>
      <c r="C1269">
        <v>154</v>
      </c>
      <c r="D1269">
        <v>74</v>
      </c>
      <c r="E1269">
        <v>32</v>
      </c>
      <c r="F1269">
        <v>193</v>
      </c>
      <c r="G1269">
        <v>29.3</v>
      </c>
      <c r="H1269">
        <v>0.83899999999999997</v>
      </c>
      <c r="I1269">
        <v>39</v>
      </c>
      <c r="J1269">
        <v>0</v>
      </c>
      <c r="K1269" t="str">
        <f t="shared" si="38"/>
        <v>Middle-Aged</v>
      </c>
      <c r="L1269" t="str">
        <f t="shared" si="39"/>
        <v>Overweight</v>
      </c>
    </row>
    <row r="1270" spans="1:12" x14ac:dyDescent="0.2">
      <c r="A1270">
        <v>1269</v>
      </c>
      <c r="B1270">
        <v>2</v>
      </c>
      <c r="C1270">
        <v>117</v>
      </c>
      <c r="D1270">
        <v>90</v>
      </c>
      <c r="E1270">
        <v>19</v>
      </c>
      <c r="F1270">
        <v>71</v>
      </c>
      <c r="G1270">
        <v>25.2</v>
      </c>
      <c r="H1270">
        <v>0.313</v>
      </c>
      <c r="I1270">
        <v>21</v>
      </c>
      <c r="J1270">
        <v>0</v>
      </c>
      <c r="K1270" t="str">
        <f t="shared" si="38"/>
        <v>Young</v>
      </c>
      <c r="L1270" t="str">
        <f t="shared" si="39"/>
        <v>Overweight</v>
      </c>
    </row>
    <row r="1271" spans="1:12" x14ac:dyDescent="0.2">
      <c r="A1271">
        <v>1270</v>
      </c>
      <c r="B1271">
        <v>3</v>
      </c>
      <c r="C1271">
        <v>84</v>
      </c>
      <c r="D1271">
        <v>72</v>
      </c>
      <c r="E1271">
        <v>32</v>
      </c>
      <c r="F1271">
        <v>0</v>
      </c>
      <c r="G1271">
        <v>37.200000000000003</v>
      </c>
      <c r="H1271">
        <v>0.26700000000000002</v>
      </c>
      <c r="I1271">
        <v>28</v>
      </c>
      <c r="J1271">
        <v>0</v>
      </c>
      <c r="K1271" t="str">
        <f t="shared" si="38"/>
        <v>Young</v>
      </c>
      <c r="L1271" t="str">
        <f t="shared" si="39"/>
        <v>Obese</v>
      </c>
    </row>
    <row r="1272" spans="1:12" x14ac:dyDescent="0.2">
      <c r="A1272">
        <v>1271</v>
      </c>
      <c r="B1272">
        <v>6</v>
      </c>
      <c r="C1272">
        <v>121</v>
      </c>
      <c r="D1272">
        <v>68</v>
      </c>
      <c r="E1272">
        <v>41</v>
      </c>
      <c r="F1272">
        <v>0</v>
      </c>
      <c r="G1272">
        <v>39</v>
      </c>
      <c r="H1272">
        <v>0.72699999999999998</v>
      </c>
      <c r="I1272">
        <v>41</v>
      </c>
      <c r="J1272">
        <v>1</v>
      </c>
      <c r="K1272" t="str">
        <f t="shared" si="38"/>
        <v>Middle-Aged</v>
      </c>
      <c r="L1272" t="str">
        <f t="shared" si="39"/>
        <v>Obese</v>
      </c>
    </row>
    <row r="1273" spans="1:12" x14ac:dyDescent="0.2">
      <c r="A1273">
        <v>1272</v>
      </c>
      <c r="B1273">
        <v>7</v>
      </c>
      <c r="C1273">
        <v>94</v>
      </c>
      <c r="D1273">
        <v>64</v>
      </c>
      <c r="E1273">
        <v>25</v>
      </c>
      <c r="F1273">
        <v>79</v>
      </c>
      <c r="G1273">
        <v>33.299999999999997</v>
      </c>
      <c r="H1273">
        <v>0.73799999999999999</v>
      </c>
      <c r="I1273">
        <v>41</v>
      </c>
      <c r="J1273">
        <v>0</v>
      </c>
      <c r="K1273" t="str">
        <f t="shared" si="38"/>
        <v>Middle-Aged</v>
      </c>
      <c r="L1273" t="str">
        <f t="shared" si="39"/>
        <v>Obese</v>
      </c>
    </row>
    <row r="1274" spans="1:12" x14ac:dyDescent="0.2">
      <c r="A1274">
        <v>1273</v>
      </c>
      <c r="B1274">
        <v>3</v>
      </c>
      <c r="C1274">
        <v>96</v>
      </c>
      <c r="D1274">
        <v>78</v>
      </c>
      <c r="E1274">
        <v>39</v>
      </c>
      <c r="F1274">
        <v>0</v>
      </c>
      <c r="G1274">
        <v>37.299999999999997</v>
      </c>
      <c r="H1274">
        <v>0.23799999999999999</v>
      </c>
      <c r="I1274">
        <v>40</v>
      </c>
      <c r="J1274">
        <v>0</v>
      </c>
      <c r="K1274" t="str">
        <f t="shared" si="38"/>
        <v>Middle-Aged</v>
      </c>
      <c r="L1274" t="str">
        <f t="shared" si="39"/>
        <v>Obese</v>
      </c>
    </row>
    <row r="1275" spans="1:12" x14ac:dyDescent="0.2">
      <c r="A1275">
        <v>1274</v>
      </c>
      <c r="B1275">
        <v>10</v>
      </c>
      <c r="C1275">
        <v>75</v>
      </c>
      <c r="D1275">
        <v>82</v>
      </c>
      <c r="E1275">
        <v>0</v>
      </c>
      <c r="F1275">
        <v>0</v>
      </c>
      <c r="G1275">
        <v>33.299999999999997</v>
      </c>
      <c r="H1275">
        <v>0.26300000000000001</v>
      </c>
      <c r="I1275">
        <v>38</v>
      </c>
      <c r="J1275">
        <v>0</v>
      </c>
      <c r="K1275" t="str">
        <f t="shared" si="38"/>
        <v>Middle-Aged</v>
      </c>
      <c r="L1275" t="str">
        <f t="shared" si="39"/>
        <v>Obese</v>
      </c>
    </row>
    <row r="1276" spans="1:12" x14ac:dyDescent="0.2">
      <c r="A1276">
        <v>1275</v>
      </c>
      <c r="B1276">
        <v>0</v>
      </c>
      <c r="C1276">
        <v>180</v>
      </c>
      <c r="D1276">
        <v>90</v>
      </c>
      <c r="E1276">
        <v>26</v>
      </c>
      <c r="F1276">
        <v>90</v>
      </c>
      <c r="G1276">
        <v>36.5</v>
      </c>
      <c r="H1276">
        <v>0.314</v>
      </c>
      <c r="I1276">
        <v>35</v>
      </c>
      <c r="J1276">
        <v>1</v>
      </c>
      <c r="K1276" t="str">
        <f t="shared" si="38"/>
        <v>Middle-Aged</v>
      </c>
      <c r="L1276" t="str">
        <f t="shared" si="39"/>
        <v>Obese</v>
      </c>
    </row>
    <row r="1277" spans="1:12" x14ac:dyDescent="0.2">
      <c r="A1277">
        <v>1276</v>
      </c>
      <c r="B1277">
        <v>1</v>
      </c>
      <c r="C1277">
        <v>130</v>
      </c>
      <c r="D1277">
        <v>60</v>
      </c>
      <c r="E1277">
        <v>23</v>
      </c>
      <c r="F1277">
        <v>170</v>
      </c>
      <c r="G1277">
        <v>28.6</v>
      </c>
      <c r="H1277">
        <v>0.69199999999999995</v>
      </c>
      <c r="I1277">
        <v>21</v>
      </c>
      <c r="J1277">
        <v>0</v>
      </c>
      <c r="K1277" t="str">
        <f t="shared" si="38"/>
        <v>Young</v>
      </c>
      <c r="L1277" t="str">
        <f t="shared" si="39"/>
        <v>Overweight</v>
      </c>
    </row>
    <row r="1278" spans="1:12" x14ac:dyDescent="0.2">
      <c r="A1278">
        <v>1277</v>
      </c>
      <c r="B1278">
        <v>2</v>
      </c>
      <c r="C1278">
        <v>84</v>
      </c>
      <c r="D1278">
        <v>50</v>
      </c>
      <c r="E1278">
        <v>23</v>
      </c>
      <c r="F1278">
        <v>76</v>
      </c>
      <c r="G1278">
        <v>30.4</v>
      </c>
      <c r="H1278">
        <v>0.96799999999999997</v>
      </c>
      <c r="I1278">
        <v>21</v>
      </c>
      <c r="J1278">
        <v>0</v>
      </c>
      <c r="K1278" t="str">
        <f t="shared" si="38"/>
        <v>Young</v>
      </c>
      <c r="L1278" t="str">
        <f t="shared" si="39"/>
        <v>Obese</v>
      </c>
    </row>
    <row r="1279" spans="1:12" x14ac:dyDescent="0.2">
      <c r="A1279">
        <v>1278</v>
      </c>
      <c r="B1279">
        <v>8</v>
      </c>
      <c r="C1279">
        <v>120</v>
      </c>
      <c r="D1279">
        <v>78</v>
      </c>
      <c r="E1279">
        <v>0</v>
      </c>
      <c r="F1279">
        <v>0</v>
      </c>
      <c r="G1279">
        <v>25</v>
      </c>
      <c r="H1279">
        <v>0.40899999999999997</v>
      </c>
      <c r="I1279">
        <v>64</v>
      </c>
      <c r="J1279">
        <v>0</v>
      </c>
      <c r="K1279" t="str">
        <f t="shared" si="38"/>
        <v>Senior</v>
      </c>
      <c r="L1279" t="str">
        <f t="shared" si="39"/>
        <v>Overweight</v>
      </c>
    </row>
    <row r="1280" spans="1:12" x14ac:dyDescent="0.2">
      <c r="A1280">
        <v>1279</v>
      </c>
      <c r="B1280">
        <v>12</v>
      </c>
      <c r="C1280">
        <v>84</v>
      </c>
      <c r="D1280">
        <v>72</v>
      </c>
      <c r="E1280">
        <v>31</v>
      </c>
      <c r="F1280">
        <v>0</v>
      </c>
      <c r="G1280">
        <v>29.7</v>
      </c>
      <c r="H1280">
        <v>0.29699999999999999</v>
      </c>
      <c r="I1280">
        <v>46</v>
      </c>
      <c r="J1280">
        <v>1</v>
      </c>
      <c r="K1280" t="str">
        <f t="shared" si="38"/>
        <v>Senior</v>
      </c>
      <c r="L1280" t="str">
        <f t="shared" si="39"/>
        <v>Overweight</v>
      </c>
    </row>
    <row r="1281" spans="1:12" x14ac:dyDescent="0.2">
      <c r="A1281">
        <v>1280</v>
      </c>
      <c r="B1281">
        <v>0</v>
      </c>
      <c r="C1281">
        <v>139</v>
      </c>
      <c r="D1281">
        <v>62</v>
      </c>
      <c r="E1281">
        <v>17</v>
      </c>
      <c r="F1281">
        <v>210</v>
      </c>
      <c r="G1281">
        <v>22.1</v>
      </c>
      <c r="H1281">
        <v>0.20699999999999999</v>
      </c>
      <c r="I1281">
        <v>21</v>
      </c>
      <c r="J1281">
        <v>0</v>
      </c>
      <c r="K1281" t="str">
        <f t="shared" si="38"/>
        <v>Young</v>
      </c>
      <c r="L1281" t="str">
        <f t="shared" si="39"/>
        <v>Normal</v>
      </c>
    </row>
    <row r="1282" spans="1:12" x14ac:dyDescent="0.2">
      <c r="A1282">
        <v>1281</v>
      </c>
      <c r="B1282">
        <v>9</v>
      </c>
      <c r="C1282">
        <v>91</v>
      </c>
      <c r="D1282">
        <v>68</v>
      </c>
      <c r="E1282">
        <v>0</v>
      </c>
      <c r="F1282">
        <v>0</v>
      </c>
      <c r="G1282">
        <v>24.2</v>
      </c>
      <c r="H1282">
        <v>0.2</v>
      </c>
      <c r="I1282">
        <v>58</v>
      </c>
      <c r="J1282">
        <v>0</v>
      </c>
      <c r="K1282" t="str">
        <f t="shared" si="38"/>
        <v>Senior</v>
      </c>
      <c r="L1282" t="str">
        <f t="shared" si="39"/>
        <v>Normal</v>
      </c>
    </row>
    <row r="1283" spans="1:12" x14ac:dyDescent="0.2">
      <c r="A1283">
        <v>1282</v>
      </c>
      <c r="B1283">
        <v>2</v>
      </c>
      <c r="C1283">
        <v>91</v>
      </c>
      <c r="D1283">
        <v>62</v>
      </c>
      <c r="E1283">
        <v>0</v>
      </c>
      <c r="F1283">
        <v>0</v>
      </c>
      <c r="G1283">
        <v>27.3</v>
      </c>
      <c r="H1283">
        <v>0.52500000000000002</v>
      </c>
      <c r="I1283">
        <v>22</v>
      </c>
      <c r="J1283">
        <v>0</v>
      </c>
      <c r="K1283" t="str">
        <f t="shared" ref="K1283:K1346" si="40">IF(I1283&lt;30, "Young", IF( I1283&lt;45, "Middle-Aged", "Senior"))</f>
        <v>Young</v>
      </c>
      <c r="L1283" t="str">
        <f t="shared" ref="L1283:L1346" si="41">IF(G1283&lt;18.5, "Underweight", IF(G1283&lt;25, "Normal", IF(G1283&lt;30, "Overweight", "Obese")))</f>
        <v>Overweight</v>
      </c>
    </row>
    <row r="1284" spans="1:12" x14ac:dyDescent="0.2">
      <c r="A1284">
        <v>1283</v>
      </c>
      <c r="B1284">
        <v>3</v>
      </c>
      <c r="C1284">
        <v>99</v>
      </c>
      <c r="D1284">
        <v>54</v>
      </c>
      <c r="E1284">
        <v>19</v>
      </c>
      <c r="F1284">
        <v>86</v>
      </c>
      <c r="G1284">
        <v>25.6</v>
      </c>
      <c r="H1284">
        <v>0.154</v>
      </c>
      <c r="I1284">
        <v>24</v>
      </c>
      <c r="J1284">
        <v>0</v>
      </c>
      <c r="K1284" t="str">
        <f t="shared" si="40"/>
        <v>Young</v>
      </c>
      <c r="L1284" t="str">
        <f t="shared" si="41"/>
        <v>Overweight</v>
      </c>
    </row>
    <row r="1285" spans="1:12" x14ac:dyDescent="0.2">
      <c r="A1285">
        <v>1284</v>
      </c>
      <c r="B1285">
        <v>3</v>
      </c>
      <c r="C1285">
        <v>163</v>
      </c>
      <c r="D1285">
        <v>70</v>
      </c>
      <c r="E1285">
        <v>18</v>
      </c>
      <c r="F1285">
        <v>105</v>
      </c>
      <c r="G1285">
        <v>31.6</v>
      </c>
      <c r="H1285">
        <v>0.26800000000000002</v>
      </c>
      <c r="I1285">
        <v>28</v>
      </c>
      <c r="J1285">
        <v>1</v>
      </c>
      <c r="K1285" t="str">
        <f t="shared" si="40"/>
        <v>Young</v>
      </c>
      <c r="L1285" t="str">
        <f t="shared" si="41"/>
        <v>Obese</v>
      </c>
    </row>
    <row r="1286" spans="1:12" x14ac:dyDescent="0.2">
      <c r="A1286">
        <v>1285</v>
      </c>
      <c r="B1286">
        <v>9</v>
      </c>
      <c r="C1286">
        <v>145</v>
      </c>
      <c r="D1286">
        <v>88</v>
      </c>
      <c r="E1286">
        <v>34</v>
      </c>
      <c r="F1286">
        <v>165</v>
      </c>
      <c r="G1286">
        <v>30.3</v>
      </c>
      <c r="H1286">
        <v>0.77100000000000002</v>
      </c>
      <c r="I1286">
        <v>53</v>
      </c>
      <c r="J1286">
        <v>1</v>
      </c>
      <c r="K1286" t="str">
        <f t="shared" si="40"/>
        <v>Senior</v>
      </c>
      <c r="L1286" t="str">
        <f t="shared" si="41"/>
        <v>Obese</v>
      </c>
    </row>
    <row r="1287" spans="1:12" x14ac:dyDescent="0.2">
      <c r="A1287">
        <v>1286</v>
      </c>
      <c r="B1287">
        <v>7</v>
      </c>
      <c r="C1287">
        <v>125</v>
      </c>
      <c r="D1287">
        <v>86</v>
      </c>
      <c r="E1287">
        <v>0</v>
      </c>
      <c r="F1287">
        <v>0</v>
      </c>
      <c r="G1287">
        <v>37.6</v>
      </c>
      <c r="H1287">
        <v>0.30399999999999999</v>
      </c>
      <c r="I1287">
        <v>51</v>
      </c>
      <c r="J1287">
        <v>0</v>
      </c>
      <c r="K1287" t="str">
        <f t="shared" si="40"/>
        <v>Senior</v>
      </c>
      <c r="L1287" t="str">
        <f t="shared" si="41"/>
        <v>Obese</v>
      </c>
    </row>
    <row r="1288" spans="1:12" x14ac:dyDescent="0.2">
      <c r="A1288">
        <v>1287</v>
      </c>
      <c r="B1288">
        <v>13</v>
      </c>
      <c r="C1288">
        <v>76</v>
      </c>
      <c r="D1288">
        <v>60</v>
      </c>
      <c r="E1288">
        <v>0</v>
      </c>
      <c r="F1288">
        <v>0</v>
      </c>
      <c r="G1288">
        <v>32.799999999999997</v>
      </c>
      <c r="H1288">
        <v>0.18</v>
      </c>
      <c r="I1288">
        <v>41</v>
      </c>
      <c r="J1288">
        <v>0</v>
      </c>
      <c r="K1288" t="str">
        <f t="shared" si="40"/>
        <v>Middle-Aged</v>
      </c>
      <c r="L1288" t="str">
        <f t="shared" si="41"/>
        <v>Obese</v>
      </c>
    </row>
    <row r="1289" spans="1:12" x14ac:dyDescent="0.2">
      <c r="A1289">
        <v>1288</v>
      </c>
      <c r="B1289">
        <v>6</v>
      </c>
      <c r="C1289">
        <v>129</v>
      </c>
      <c r="D1289">
        <v>90</v>
      </c>
      <c r="E1289">
        <v>7</v>
      </c>
      <c r="F1289">
        <v>326</v>
      </c>
      <c r="G1289">
        <v>19.600000000000001</v>
      </c>
      <c r="H1289">
        <v>0.58199999999999996</v>
      </c>
      <c r="I1289">
        <v>60</v>
      </c>
      <c r="J1289">
        <v>0</v>
      </c>
      <c r="K1289" t="str">
        <f t="shared" si="40"/>
        <v>Senior</v>
      </c>
      <c r="L1289" t="str">
        <f t="shared" si="41"/>
        <v>Normal</v>
      </c>
    </row>
    <row r="1290" spans="1:12" x14ac:dyDescent="0.2">
      <c r="A1290">
        <v>1289</v>
      </c>
      <c r="B1290">
        <v>2</v>
      </c>
      <c r="C1290">
        <v>68</v>
      </c>
      <c r="D1290">
        <v>70</v>
      </c>
      <c r="E1290">
        <v>32</v>
      </c>
      <c r="F1290">
        <v>66</v>
      </c>
      <c r="G1290">
        <v>25</v>
      </c>
      <c r="H1290">
        <v>0.187</v>
      </c>
      <c r="I1290">
        <v>25</v>
      </c>
      <c r="J1290">
        <v>0</v>
      </c>
      <c r="K1290" t="str">
        <f t="shared" si="40"/>
        <v>Young</v>
      </c>
      <c r="L1290" t="str">
        <f t="shared" si="41"/>
        <v>Overweight</v>
      </c>
    </row>
    <row r="1291" spans="1:12" x14ac:dyDescent="0.2">
      <c r="A1291">
        <v>1290</v>
      </c>
      <c r="B1291">
        <v>3</v>
      </c>
      <c r="C1291">
        <v>124</v>
      </c>
      <c r="D1291">
        <v>80</v>
      </c>
      <c r="E1291">
        <v>33</v>
      </c>
      <c r="F1291">
        <v>130</v>
      </c>
      <c r="G1291">
        <v>33.200000000000003</v>
      </c>
      <c r="H1291">
        <v>0.30499999999999999</v>
      </c>
      <c r="I1291">
        <v>26</v>
      </c>
      <c r="J1291">
        <v>0</v>
      </c>
      <c r="K1291" t="str">
        <f t="shared" si="40"/>
        <v>Young</v>
      </c>
      <c r="L1291" t="str">
        <f t="shared" si="41"/>
        <v>Obese</v>
      </c>
    </row>
    <row r="1292" spans="1:12" x14ac:dyDescent="0.2">
      <c r="A1292">
        <v>1291</v>
      </c>
      <c r="B1292">
        <v>6</v>
      </c>
      <c r="C1292">
        <v>114</v>
      </c>
      <c r="D1292">
        <v>121</v>
      </c>
      <c r="E1292">
        <v>0</v>
      </c>
      <c r="F1292">
        <v>0</v>
      </c>
      <c r="G1292">
        <v>121</v>
      </c>
      <c r="H1292">
        <v>0.189</v>
      </c>
      <c r="I1292">
        <v>26</v>
      </c>
      <c r="J1292">
        <v>0</v>
      </c>
      <c r="K1292" t="str">
        <f t="shared" si="40"/>
        <v>Young</v>
      </c>
      <c r="L1292" t="str">
        <f t="shared" si="41"/>
        <v>Obese</v>
      </c>
    </row>
    <row r="1293" spans="1:12" x14ac:dyDescent="0.2">
      <c r="A1293">
        <v>1292</v>
      </c>
      <c r="B1293">
        <v>9</v>
      </c>
      <c r="C1293">
        <v>130</v>
      </c>
      <c r="D1293">
        <v>70</v>
      </c>
      <c r="E1293">
        <v>0</v>
      </c>
      <c r="F1293">
        <v>0</v>
      </c>
      <c r="G1293">
        <v>34.200000000000003</v>
      </c>
      <c r="H1293">
        <v>0.65200000000000002</v>
      </c>
      <c r="I1293">
        <v>45</v>
      </c>
      <c r="J1293">
        <v>1</v>
      </c>
      <c r="K1293" t="str">
        <f t="shared" si="40"/>
        <v>Senior</v>
      </c>
      <c r="L1293" t="str">
        <f t="shared" si="41"/>
        <v>Obese</v>
      </c>
    </row>
    <row r="1294" spans="1:12" x14ac:dyDescent="0.2">
      <c r="A1294">
        <v>1293</v>
      </c>
      <c r="B1294">
        <v>3</v>
      </c>
      <c r="C1294">
        <v>125</v>
      </c>
      <c r="D1294">
        <v>58</v>
      </c>
      <c r="E1294">
        <v>0</v>
      </c>
      <c r="F1294">
        <v>0</v>
      </c>
      <c r="G1294">
        <v>31.6</v>
      </c>
      <c r="H1294">
        <v>0.151</v>
      </c>
      <c r="I1294">
        <v>24</v>
      </c>
      <c r="J1294">
        <v>0</v>
      </c>
      <c r="K1294" t="str">
        <f t="shared" si="40"/>
        <v>Young</v>
      </c>
      <c r="L1294" t="str">
        <f t="shared" si="41"/>
        <v>Obese</v>
      </c>
    </row>
    <row r="1295" spans="1:12" x14ac:dyDescent="0.2">
      <c r="A1295">
        <v>1294</v>
      </c>
      <c r="B1295">
        <v>3</v>
      </c>
      <c r="C1295">
        <v>87</v>
      </c>
      <c r="D1295">
        <v>60</v>
      </c>
      <c r="E1295">
        <v>18</v>
      </c>
      <c r="F1295">
        <v>0</v>
      </c>
      <c r="G1295">
        <v>21.8</v>
      </c>
      <c r="H1295">
        <v>0.44400000000000001</v>
      </c>
      <c r="I1295">
        <v>21</v>
      </c>
      <c r="J1295">
        <v>0</v>
      </c>
      <c r="K1295" t="str">
        <f t="shared" si="40"/>
        <v>Young</v>
      </c>
      <c r="L1295" t="str">
        <f t="shared" si="41"/>
        <v>Normal</v>
      </c>
    </row>
    <row r="1296" spans="1:12" x14ac:dyDescent="0.2">
      <c r="A1296">
        <v>1295</v>
      </c>
      <c r="B1296">
        <v>1</v>
      </c>
      <c r="C1296">
        <v>97</v>
      </c>
      <c r="D1296">
        <v>64</v>
      </c>
      <c r="E1296">
        <v>19</v>
      </c>
      <c r="F1296">
        <v>82</v>
      </c>
      <c r="G1296">
        <v>18.2</v>
      </c>
      <c r="H1296">
        <v>0.29899999999999999</v>
      </c>
      <c r="I1296">
        <v>21</v>
      </c>
      <c r="J1296">
        <v>0</v>
      </c>
      <c r="K1296" t="str">
        <f t="shared" si="40"/>
        <v>Young</v>
      </c>
      <c r="L1296" t="str">
        <f t="shared" si="41"/>
        <v>Underweight</v>
      </c>
    </row>
    <row r="1297" spans="1:12" x14ac:dyDescent="0.2">
      <c r="A1297">
        <v>1296</v>
      </c>
      <c r="B1297">
        <v>3</v>
      </c>
      <c r="C1297">
        <v>116</v>
      </c>
      <c r="D1297">
        <v>74</v>
      </c>
      <c r="E1297">
        <v>15</v>
      </c>
      <c r="F1297">
        <v>105</v>
      </c>
      <c r="G1297">
        <v>26.3</v>
      </c>
      <c r="H1297">
        <v>0.107</v>
      </c>
      <c r="I1297">
        <v>24</v>
      </c>
      <c r="J1297">
        <v>0</v>
      </c>
      <c r="K1297" t="str">
        <f t="shared" si="40"/>
        <v>Young</v>
      </c>
      <c r="L1297" t="str">
        <f t="shared" si="41"/>
        <v>Overweight</v>
      </c>
    </row>
    <row r="1298" spans="1:12" x14ac:dyDescent="0.2">
      <c r="A1298">
        <v>1297</v>
      </c>
      <c r="B1298">
        <v>0</v>
      </c>
      <c r="C1298">
        <v>117</v>
      </c>
      <c r="D1298">
        <v>66</v>
      </c>
      <c r="E1298">
        <v>31</v>
      </c>
      <c r="F1298">
        <v>188</v>
      </c>
      <c r="G1298">
        <v>30.8</v>
      </c>
      <c r="H1298">
        <v>0.49299999999999999</v>
      </c>
      <c r="I1298">
        <v>22</v>
      </c>
      <c r="J1298">
        <v>0</v>
      </c>
      <c r="K1298" t="str">
        <f t="shared" si="40"/>
        <v>Young</v>
      </c>
      <c r="L1298" t="str">
        <f t="shared" si="41"/>
        <v>Obese</v>
      </c>
    </row>
    <row r="1299" spans="1:12" x14ac:dyDescent="0.2">
      <c r="A1299">
        <v>1298</v>
      </c>
      <c r="B1299">
        <v>0</v>
      </c>
      <c r="C1299">
        <v>111</v>
      </c>
      <c r="D1299">
        <v>65</v>
      </c>
      <c r="E1299">
        <v>0</v>
      </c>
      <c r="F1299">
        <v>0</v>
      </c>
      <c r="G1299">
        <v>24.6</v>
      </c>
      <c r="H1299">
        <v>0.66</v>
      </c>
      <c r="I1299">
        <v>31</v>
      </c>
      <c r="J1299">
        <v>0</v>
      </c>
      <c r="K1299" t="str">
        <f t="shared" si="40"/>
        <v>Middle-Aged</v>
      </c>
      <c r="L1299" t="str">
        <f t="shared" si="41"/>
        <v>Normal</v>
      </c>
    </row>
    <row r="1300" spans="1:12" x14ac:dyDescent="0.2">
      <c r="A1300">
        <v>1299</v>
      </c>
      <c r="B1300">
        <v>2</v>
      </c>
      <c r="C1300">
        <v>122</v>
      </c>
      <c r="D1300">
        <v>60</v>
      </c>
      <c r="E1300">
        <v>18</v>
      </c>
      <c r="F1300">
        <v>106</v>
      </c>
      <c r="G1300">
        <v>29.8</v>
      </c>
      <c r="H1300">
        <v>0.71699999999999997</v>
      </c>
      <c r="I1300">
        <v>22</v>
      </c>
      <c r="J1300">
        <v>0</v>
      </c>
      <c r="K1300" t="str">
        <f t="shared" si="40"/>
        <v>Young</v>
      </c>
      <c r="L1300" t="str">
        <f t="shared" si="41"/>
        <v>Overweight</v>
      </c>
    </row>
    <row r="1301" spans="1:12" x14ac:dyDescent="0.2">
      <c r="A1301">
        <v>1300</v>
      </c>
      <c r="B1301">
        <v>0</v>
      </c>
      <c r="C1301">
        <v>107</v>
      </c>
      <c r="D1301">
        <v>76</v>
      </c>
      <c r="E1301">
        <v>0</v>
      </c>
      <c r="F1301">
        <v>0</v>
      </c>
      <c r="G1301">
        <v>45.3</v>
      </c>
      <c r="H1301">
        <v>0.68600000000000005</v>
      </c>
      <c r="I1301">
        <v>24</v>
      </c>
      <c r="J1301">
        <v>0</v>
      </c>
      <c r="K1301" t="str">
        <f t="shared" si="40"/>
        <v>Young</v>
      </c>
      <c r="L1301" t="str">
        <f t="shared" si="41"/>
        <v>Obese</v>
      </c>
    </row>
    <row r="1302" spans="1:12" x14ac:dyDescent="0.2">
      <c r="A1302">
        <v>1301</v>
      </c>
      <c r="B1302">
        <v>1</v>
      </c>
      <c r="C1302">
        <v>86</v>
      </c>
      <c r="D1302">
        <v>66</v>
      </c>
      <c r="E1302">
        <v>52</v>
      </c>
      <c r="F1302">
        <v>65</v>
      </c>
      <c r="G1302">
        <v>41.3</v>
      </c>
      <c r="H1302">
        <v>0.91700000000000004</v>
      </c>
      <c r="I1302">
        <v>29</v>
      </c>
      <c r="J1302">
        <v>0</v>
      </c>
      <c r="K1302" t="str">
        <f t="shared" si="40"/>
        <v>Young</v>
      </c>
      <c r="L1302" t="str">
        <f t="shared" si="41"/>
        <v>Obese</v>
      </c>
    </row>
    <row r="1303" spans="1:12" x14ac:dyDescent="0.2">
      <c r="A1303">
        <v>1302</v>
      </c>
      <c r="B1303">
        <v>6</v>
      </c>
      <c r="C1303">
        <v>91</v>
      </c>
      <c r="D1303">
        <v>121</v>
      </c>
      <c r="E1303">
        <v>0</v>
      </c>
      <c r="F1303">
        <v>0</v>
      </c>
      <c r="G1303">
        <v>29.8</v>
      </c>
      <c r="H1303">
        <v>0.501</v>
      </c>
      <c r="I1303">
        <v>31</v>
      </c>
      <c r="J1303">
        <v>0</v>
      </c>
      <c r="K1303" t="str">
        <f t="shared" si="40"/>
        <v>Middle-Aged</v>
      </c>
      <c r="L1303" t="str">
        <f t="shared" si="41"/>
        <v>Overweight</v>
      </c>
    </row>
    <row r="1304" spans="1:12" x14ac:dyDescent="0.2">
      <c r="A1304">
        <v>1303</v>
      </c>
      <c r="B1304">
        <v>1</v>
      </c>
      <c r="C1304">
        <v>77</v>
      </c>
      <c r="D1304">
        <v>56</v>
      </c>
      <c r="E1304">
        <v>30</v>
      </c>
      <c r="F1304">
        <v>56</v>
      </c>
      <c r="G1304">
        <v>33.299999999999997</v>
      </c>
      <c r="H1304">
        <v>1.2509999999999999</v>
      </c>
      <c r="I1304">
        <v>24</v>
      </c>
      <c r="J1304">
        <v>0</v>
      </c>
      <c r="K1304" t="str">
        <f t="shared" si="40"/>
        <v>Young</v>
      </c>
      <c r="L1304" t="str">
        <f t="shared" si="41"/>
        <v>Obese</v>
      </c>
    </row>
    <row r="1305" spans="1:12" x14ac:dyDescent="0.2">
      <c r="A1305">
        <v>1304</v>
      </c>
      <c r="B1305">
        <v>4</v>
      </c>
      <c r="C1305">
        <v>132</v>
      </c>
      <c r="D1305">
        <v>121</v>
      </c>
      <c r="E1305">
        <v>0</v>
      </c>
      <c r="F1305">
        <v>0</v>
      </c>
      <c r="G1305">
        <v>32.9</v>
      </c>
      <c r="H1305">
        <v>0.30199999999999999</v>
      </c>
      <c r="I1305">
        <v>23</v>
      </c>
      <c r="J1305">
        <v>1</v>
      </c>
      <c r="K1305" t="str">
        <f t="shared" si="40"/>
        <v>Young</v>
      </c>
      <c r="L1305" t="str">
        <f t="shared" si="41"/>
        <v>Obese</v>
      </c>
    </row>
    <row r="1306" spans="1:12" x14ac:dyDescent="0.2">
      <c r="A1306">
        <v>1305</v>
      </c>
      <c r="B1306">
        <v>0</v>
      </c>
      <c r="C1306">
        <v>105</v>
      </c>
      <c r="D1306">
        <v>90</v>
      </c>
      <c r="E1306">
        <v>0</v>
      </c>
      <c r="F1306">
        <v>0</v>
      </c>
      <c r="G1306">
        <v>29.6</v>
      </c>
      <c r="H1306">
        <v>0.19700000000000001</v>
      </c>
      <c r="I1306">
        <v>46</v>
      </c>
      <c r="J1306">
        <v>0</v>
      </c>
      <c r="K1306" t="str">
        <f t="shared" si="40"/>
        <v>Senior</v>
      </c>
      <c r="L1306" t="str">
        <f t="shared" si="41"/>
        <v>Overweight</v>
      </c>
    </row>
    <row r="1307" spans="1:12" x14ac:dyDescent="0.2">
      <c r="A1307">
        <v>1306</v>
      </c>
      <c r="B1307">
        <v>0</v>
      </c>
      <c r="C1307">
        <v>57</v>
      </c>
      <c r="D1307">
        <v>60</v>
      </c>
      <c r="E1307">
        <v>0</v>
      </c>
      <c r="F1307">
        <v>0</v>
      </c>
      <c r="G1307">
        <v>21.7</v>
      </c>
      <c r="H1307">
        <v>0.73499999999999999</v>
      </c>
      <c r="I1307">
        <v>67</v>
      </c>
      <c r="J1307">
        <v>0</v>
      </c>
      <c r="K1307" t="str">
        <f t="shared" si="40"/>
        <v>Senior</v>
      </c>
      <c r="L1307" t="str">
        <f t="shared" si="41"/>
        <v>Normal</v>
      </c>
    </row>
    <row r="1308" spans="1:12" x14ac:dyDescent="0.2">
      <c r="A1308">
        <v>1307</v>
      </c>
      <c r="B1308">
        <v>0</v>
      </c>
      <c r="C1308">
        <v>127</v>
      </c>
      <c r="D1308">
        <v>80</v>
      </c>
      <c r="E1308">
        <v>37</v>
      </c>
      <c r="F1308">
        <v>210</v>
      </c>
      <c r="G1308">
        <v>36.299999999999997</v>
      </c>
      <c r="H1308">
        <v>0.80400000000000005</v>
      </c>
      <c r="I1308">
        <v>23</v>
      </c>
      <c r="J1308">
        <v>0</v>
      </c>
      <c r="K1308" t="str">
        <f t="shared" si="40"/>
        <v>Young</v>
      </c>
      <c r="L1308" t="str">
        <f t="shared" si="41"/>
        <v>Obese</v>
      </c>
    </row>
    <row r="1309" spans="1:12" x14ac:dyDescent="0.2">
      <c r="A1309">
        <v>1308</v>
      </c>
      <c r="B1309">
        <v>3</v>
      </c>
      <c r="C1309">
        <v>129</v>
      </c>
      <c r="D1309">
        <v>92</v>
      </c>
      <c r="E1309">
        <v>49</v>
      </c>
      <c r="F1309">
        <v>155</v>
      </c>
      <c r="G1309">
        <v>36.4</v>
      </c>
      <c r="H1309">
        <v>0.96799999999999997</v>
      </c>
      <c r="I1309">
        <v>32</v>
      </c>
      <c r="J1309">
        <v>1</v>
      </c>
      <c r="K1309" t="str">
        <f t="shared" si="40"/>
        <v>Middle-Aged</v>
      </c>
      <c r="L1309" t="str">
        <f t="shared" si="41"/>
        <v>Obese</v>
      </c>
    </row>
    <row r="1310" spans="1:12" x14ac:dyDescent="0.2">
      <c r="A1310">
        <v>1309</v>
      </c>
      <c r="B1310">
        <v>8</v>
      </c>
      <c r="C1310">
        <v>100</v>
      </c>
      <c r="D1310">
        <v>74</v>
      </c>
      <c r="E1310">
        <v>40</v>
      </c>
      <c r="F1310">
        <v>215</v>
      </c>
      <c r="G1310">
        <v>39.4</v>
      </c>
      <c r="H1310">
        <v>0.66100000000000003</v>
      </c>
      <c r="I1310">
        <v>43</v>
      </c>
      <c r="J1310">
        <v>1</v>
      </c>
      <c r="K1310" t="str">
        <f t="shared" si="40"/>
        <v>Middle-Aged</v>
      </c>
      <c r="L1310" t="str">
        <f t="shared" si="41"/>
        <v>Obese</v>
      </c>
    </row>
    <row r="1311" spans="1:12" x14ac:dyDescent="0.2">
      <c r="A1311">
        <v>1310</v>
      </c>
      <c r="B1311">
        <v>3</v>
      </c>
      <c r="C1311">
        <v>128</v>
      </c>
      <c r="D1311">
        <v>72</v>
      </c>
      <c r="E1311">
        <v>25</v>
      </c>
      <c r="F1311">
        <v>190</v>
      </c>
      <c r="G1311">
        <v>32.4</v>
      </c>
      <c r="H1311">
        <v>0.54900000000000004</v>
      </c>
      <c r="I1311">
        <v>27</v>
      </c>
      <c r="J1311">
        <v>1</v>
      </c>
      <c r="K1311" t="str">
        <f t="shared" si="40"/>
        <v>Young</v>
      </c>
      <c r="L1311" t="str">
        <f t="shared" si="41"/>
        <v>Obese</v>
      </c>
    </row>
    <row r="1312" spans="1:12" x14ac:dyDescent="0.2">
      <c r="A1312">
        <v>1311</v>
      </c>
      <c r="B1312">
        <v>10</v>
      </c>
      <c r="C1312">
        <v>90</v>
      </c>
      <c r="D1312">
        <v>85</v>
      </c>
      <c r="E1312">
        <v>32</v>
      </c>
      <c r="F1312">
        <v>0</v>
      </c>
      <c r="G1312">
        <v>34.9</v>
      </c>
      <c r="H1312">
        <v>0.82499999999999996</v>
      </c>
      <c r="I1312">
        <v>56</v>
      </c>
      <c r="J1312">
        <v>1</v>
      </c>
      <c r="K1312" t="str">
        <f t="shared" si="40"/>
        <v>Senior</v>
      </c>
      <c r="L1312" t="str">
        <f t="shared" si="41"/>
        <v>Obese</v>
      </c>
    </row>
    <row r="1313" spans="1:12" x14ac:dyDescent="0.2">
      <c r="A1313">
        <v>1312</v>
      </c>
      <c r="B1313">
        <v>4</v>
      </c>
      <c r="C1313">
        <v>84</v>
      </c>
      <c r="D1313">
        <v>90</v>
      </c>
      <c r="E1313">
        <v>23</v>
      </c>
      <c r="F1313">
        <v>56</v>
      </c>
      <c r="G1313">
        <v>39.5</v>
      </c>
      <c r="H1313">
        <v>0.159</v>
      </c>
      <c r="I1313">
        <v>25</v>
      </c>
      <c r="J1313">
        <v>0</v>
      </c>
      <c r="K1313" t="str">
        <f t="shared" si="40"/>
        <v>Young</v>
      </c>
      <c r="L1313" t="str">
        <f t="shared" si="41"/>
        <v>Obese</v>
      </c>
    </row>
    <row r="1314" spans="1:12" x14ac:dyDescent="0.2">
      <c r="A1314">
        <v>1313</v>
      </c>
      <c r="B1314">
        <v>1</v>
      </c>
      <c r="C1314">
        <v>88</v>
      </c>
      <c r="D1314">
        <v>78</v>
      </c>
      <c r="E1314">
        <v>29</v>
      </c>
      <c r="F1314">
        <v>76</v>
      </c>
      <c r="G1314">
        <v>32</v>
      </c>
      <c r="H1314">
        <v>0.36499999999999999</v>
      </c>
      <c r="I1314">
        <v>29</v>
      </c>
      <c r="J1314">
        <v>0</v>
      </c>
      <c r="K1314" t="str">
        <f t="shared" si="40"/>
        <v>Young</v>
      </c>
      <c r="L1314" t="str">
        <f t="shared" si="41"/>
        <v>Obese</v>
      </c>
    </row>
    <row r="1315" spans="1:12" x14ac:dyDescent="0.2">
      <c r="A1315">
        <v>1314</v>
      </c>
      <c r="B1315">
        <v>8</v>
      </c>
      <c r="C1315">
        <v>186</v>
      </c>
      <c r="D1315">
        <v>90</v>
      </c>
      <c r="E1315">
        <v>35</v>
      </c>
      <c r="F1315">
        <v>225</v>
      </c>
      <c r="G1315">
        <v>34.5</v>
      </c>
      <c r="H1315">
        <v>0.42299999999999999</v>
      </c>
      <c r="I1315">
        <v>37</v>
      </c>
      <c r="J1315">
        <v>1</v>
      </c>
      <c r="K1315" t="str">
        <f t="shared" si="40"/>
        <v>Middle-Aged</v>
      </c>
      <c r="L1315" t="str">
        <f t="shared" si="41"/>
        <v>Obese</v>
      </c>
    </row>
    <row r="1316" spans="1:12" x14ac:dyDescent="0.2">
      <c r="A1316">
        <v>1315</v>
      </c>
      <c r="B1316">
        <v>5</v>
      </c>
      <c r="C1316">
        <v>187</v>
      </c>
      <c r="D1316">
        <v>76</v>
      </c>
      <c r="E1316">
        <v>27</v>
      </c>
      <c r="F1316">
        <v>207</v>
      </c>
      <c r="G1316">
        <v>43.6</v>
      </c>
      <c r="H1316">
        <v>1.034</v>
      </c>
      <c r="I1316">
        <v>53</v>
      </c>
      <c r="J1316">
        <v>1</v>
      </c>
      <c r="K1316" t="str">
        <f t="shared" si="40"/>
        <v>Senior</v>
      </c>
      <c r="L1316" t="str">
        <f t="shared" si="41"/>
        <v>Obese</v>
      </c>
    </row>
    <row r="1317" spans="1:12" x14ac:dyDescent="0.2">
      <c r="A1317">
        <v>1316</v>
      </c>
      <c r="B1317">
        <v>4</v>
      </c>
      <c r="C1317">
        <v>131</v>
      </c>
      <c r="D1317">
        <v>68</v>
      </c>
      <c r="E1317">
        <v>21</v>
      </c>
      <c r="F1317">
        <v>166</v>
      </c>
      <c r="G1317">
        <v>33.1</v>
      </c>
      <c r="H1317">
        <v>0.16</v>
      </c>
      <c r="I1317">
        <v>28</v>
      </c>
      <c r="J1317">
        <v>0</v>
      </c>
      <c r="K1317" t="str">
        <f t="shared" si="40"/>
        <v>Young</v>
      </c>
      <c r="L1317" t="str">
        <f t="shared" si="41"/>
        <v>Obese</v>
      </c>
    </row>
    <row r="1318" spans="1:12" x14ac:dyDescent="0.2">
      <c r="A1318">
        <v>1317</v>
      </c>
      <c r="B1318">
        <v>1</v>
      </c>
      <c r="C1318">
        <v>164</v>
      </c>
      <c r="D1318">
        <v>82</v>
      </c>
      <c r="E1318">
        <v>43</v>
      </c>
      <c r="F1318">
        <v>67</v>
      </c>
      <c r="G1318">
        <v>32.799999999999997</v>
      </c>
      <c r="H1318">
        <v>0.34100000000000003</v>
      </c>
      <c r="I1318">
        <v>50</v>
      </c>
      <c r="J1318">
        <v>0</v>
      </c>
      <c r="K1318" t="str">
        <f t="shared" si="40"/>
        <v>Senior</v>
      </c>
      <c r="L1318" t="str">
        <f t="shared" si="41"/>
        <v>Obese</v>
      </c>
    </row>
    <row r="1319" spans="1:12" x14ac:dyDescent="0.2">
      <c r="A1319">
        <v>1318</v>
      </c>
      <c r="B1319">
        <v>4</v>
      </c>
      <c r="C1319">
        <v>189</v>
      </c>
      <c r="D1319">
        <v>110</v>
      </c>
      <c r="E1319">
        <v>31</v>
      </c>
      <c r="F1319">
        <v>0</v>
      </c>
      <c r="G1319">
        <v>28.5</v>
      </c>
      <c r="H1319">
        <v>0.68</v>
      </c>
      <c r="I1319">
        <v>37</v>
      </c>
      <c r="J1319">
        <v>0</v>
      </c>
      <c r="K1319" t="str">
        <f t="shared" si="40"/>
        <v>Middle-Aged</v>
      </c>
      <c r="L1319" t="str">
        <f t="shared" si="41"/>
        <v>Overweight</v>
      </c>
    </row>
    <row r="1320" spans="1:12" x14ac:dyDescent="0.2">
      <c r="A1320">
        <v>1319</v>
      </c>
      <c r="B1320">
        <v>1</v>
      </c>
      <c r="C1320">
        <v>116</v>
      </c>
      <c r="D1320">
        <v>70</v>
      </c>
      <c r="E1320">
        <v>28</v>
      </c>
      <c r="F1320">
        <v>0</v>
      </c>
      <c r="G1320">
        <v>27.4</v>
      </c>
      <c r="H1320">
        <v>0.20399999999999999</v>
      </c>
      <c r="I1320">
        <v>21</v>
      </c>
      <c r="J1320">
        <v>0</v>
      </c>
      <c r="K1320" t="str">
        <f t="shared" si="40"/>
        <v>Young</v>
      </c>
      <c r="L1320" t="str">
        <f t="shared" si="41"/>
        <v>Overweight</v>
      </c>
    </row>
    <row r="1321" spans="1:12" x14ac:dyDescent="0.2">
      <c r="A1321">
        <v>1320</v>
      </c>
      <c r="B1321">
        <v>3</v>
      </c>
      <c r="C1321">
        <v>84</v>
      </c>
      <c r="D1321">
        <v>68</v>
      </c>
      <c r="E1321">
        <v>30</v>
      </c>
      <c r="F1321">
        <v>106</v>
      </c>
      <c r="G1321">
        <v>31.9</v>
      </c>
      <c r="H1321">
        <v>0.59099999999999997</v>
      </c>
      <c r="I1321">
        <v>25</v>
      </c>
      <c r="J1321">
        <v>0</v>
      </c>
      <c r="K1321" t="str">
        <f t="shared" si="40"/>
        <v>Young</v>
      </c>
      <c r="L1321" t="str">
        <f t="shared" si="41"/>
        <v>Obese</v>
      </c>
    </row>
    <row r="1322" spans="1:12" x14ac:dyDescent="0.2">
      <c r="A1322">
        <v>1321</v>
      </c>
      <c r="B1322">
        <v>6</v>
      </c>
      <c r="C1322">
        <v>114</v>
      </c>
      <c r="D1322">
        <v>88</v>
      </c>
      <c r="E1322">
        <v>0</v>
      </c>
      <c r="F1322">
        <v>0</v>
      </c>
      <c r="G1322">
        <v>27.8</v>
      </c>
      <c r="H1322">
        <v>0.247</v>
      </c>
      <c r="I1322">
        <v>66</v>
      </c>
      <c r="J1322">
        <v>0</v>
      </c>
      <c r="K1322" t="str">
        <f t="shared" si="40"/>
        <v>Senior</v>
      </c>
      <c r="L1322" t="str">
        <f t="shared" si="41"/>
        <v>Overweight</v>
      </c>
    </row>
    <row r="1323" spans="1:12" x14ac:dyDescent="0.2">
      <c r="A1323">
        <v>1322</v>
      </c>
      <c r="B1323">
        <v>1</v>
      </c>
      <c r="C1323">
        <v>88</v>
      </c>
      <c r="D1323">
        <v>62</v>
      </c>
      <c r="E1323">
        <v>24</v>
      </c>
      <c r="F1323">
        <v>44</v>
      </c>
      <c r="G1323">
        <v>29.9</v>
      </c>
      <c r="H1323">
        <v>0.42199999999999999</v>
      </c>
      <c r="I1323">
        <v>23</v>
      </c>
      <c r="J1323">
        <v>0</v>
      </c>
      <c r="K1323" t="str">
        <f t="shared" si="40"/>
        <v>Young</v>
      </c>
      <c r="L1323" t="str">
        <f t="shared" si="41"/>
        <v>Overweight</v>
      </c>
    </row>
    <row r="1324" spans="1:12" x14ac:dyDescent="0.2">
      <c r="A1324">
        <v>1323</v>
      </c>
      <c r="B1324">
        <v>1</v>
      </c>
      <c r="C1324">
        <v>84</v>
      </c>
      <c r="D1324">
        <v>64</v>
      </c>
      <c r="E1324">
        <v>23</v>
      </c>
      <c r="F1324">
        <v>115</v>
      </c>
      <c r="G1324">
        <v>36.9</v>
      </c>
      <c r="H1324">
        <v>0.47099999999999997</v>
      </c>
      <c r="I1324">
        <v>28</v>
      </c>
      <c r="J1324">
        <v>0</v>
      </c>
      <c r="K1324" t="str">
        <f t="shared" si="40"/>
        <v>Young</v>
      </c>
      <c r="L1324" t="str">
        <f t="shared" si="41"/>
        <v>Obese</v>
      </c>
    </row>
    <row r="1325" spans="1:12" x14ac:dyDescent="0.2">
      <c r="A1325">
        <v>1324</v>
      </c>
      <c r="B1325">
        <v>7</v>
      </c>
      <c r="C1325">
        <v>124</v>
      </c>
      <c r="D1325">
        <v>70</v>
      </c>
      <c r="E1325">
        <v>33</v>
      </c>
      <c r="F1325">
        <v>215</v>
      </c>
      <c r="G1325">
        <v>25.5</v>
      </c>
      <c r="H1325">
        <v>0.161</v>
      </c>
      <c r="I1325">
        <v>37</v>
      </c>
      <c r="J1325">
        <v>0</v>
      </c>
      <c r="K1325" t="str">
        <f t="shared" si="40"/>
        <v>Middle-Aged</v>
      </c>
      <c r="L1325" t="str">
        <f t="shared" si="41"/>
        <v>Overweight</v>
      </c>
    </row>
    <row r="1326" spans="1:12" x14ac:dyDescent="0.2">
      <c r="A1326">
        <v>1325</v>
      </c>
      <c r="B1326">
        <v>1</v>
      </c>
      <c r="C1326">
        <v>97</v>
      </c>
      <c r="D1326">
        <v>70</v>
      </c>
      <c r="E1326">
        <v>40</v>
      </c>
      <c r="F1326">
        <v>0</v>
      </c>
      <c r="G1326">
        <v>38.1</v>
      </c>
      <c r="H1326">
        <v>0.218</v>
      </c>
      <c r="I1326">
        <v>30</v>
      </c>
      <c r="J1326">
        <v>0</v>
      </c>
      <c r="K1326" t="str">
        <f t="shared" si="40"/>
        <v>Middle-Aged</v>
      </c>
      <c r="L1326" t="str">
        <f t="shared" si="41"/>
        <v>Obese</v>
      </c>
    </row>
    <row r="1327" spans="1:12" x14ac:dyDescent="0.2">
      <c r="A1327">
        <v>1326</v>
      </c>
      <c r="B1327">
        <v>8</v>
      </c>
      <c r="C1327">
        <v>110</v>
      </c>
      <c r="D1327">
        <v>76</v>
      </c>
      <c r="E1327">
        <v>0</v>
      </c>
      <c r="F1327">
        <v>0</v>
      </c>
      <c r="G1327">
        <v>27.8</v>
      </c>
      <c r="H1327">
        <v>0.23699999999999999</v>
      </c>
      <c r="I1327">
        <v>58</v>
      </c>
      <c r="J1327">
        <v>0</v>
      </c>
      <c r="K1327" t="str">
        <f t="shared" si="40"/>
        <v>Senior</v>
      </c>
      <c r="L1327" t="str">
        <f t="shared" si="41"/>
        <v>Overweight</v>
      </c>
    </row>
    <row r="1328" spans="1:12" x14ac:dyDescent="0.2">
      <c r="A1328">
        <v>1327</v>
      </c>
      <c r="B1328">
        <v>11</v>
      </c>
      <c r="C1328">
        <v>103</v>
      </c>
      <c r="D1328">
        <v>68</v>
      </c>
      <c r="E1328">
        <v>40</v>
      </c>
      <c r="F1328">
        <v>0</v>
      </c>
      <c r="G1328">
        <v>46.2</v>
      </c>
      <c r="H1328">
        <v>0.126</v>
      </c>
      <c r="I1328">
        <v>42</v>
      </c>
      <c r="J1328">
        <v>0</v>
      </c>
      <c r="K1328" t="str">
        <f t="shared" si="40"/>
        <v>Middle-Aged</v>
      </c>
      <c r="L1328" t="str">
        <f t="shared" si="41"/>
        <v>Obese</v>
      </c>
    </row>
    <row r="1329" spans="1:12" x14ac:dyDescent="0.2">
      <c r="A1329">
        <v>1328</v>
      </c>
      <c r="B1329">
        <v>11</v>
      </c>
      <c r="C1329">
        <v>85</v>
      </c>
      <c r="D1329">
        <v>74</v>
      </c>
      <c r="E1329">
        <v>0</v>
      </c>
      <c r="F1329">
        <v>0</v>
      </c>
      <c r="G1329">
        <v>30.1</v>
      </c>
      <c r="H1329">
        <v>0.3</v>
      </c>
      <c r="I1329">
        <v>35</v>
      </c>
      <c r="J1329">
        <v>0</v>
      </c>
      <c r="K1329" t="str">
        <f t="shared" si="40"/>
        <v>Middle-Aged</v>
      </c>
      <c r="L1329" t="str">
        <f t="shared" si="41"/>
        <v>Obese</v>
      </c>
    </row>
    <row r="1330" spans="1:12" x14ac:dyDescent="0.2">
      <c r="A1330">
        <v>1329</v>
      </c>
      <c r="B1330">
        <v>6</v>
      </c>
      <c r="C1330">
        <v>125</v>
      </c>
      <c r="D1330">
        <v>76</v>
      </c>
      <c r="E1330">
        <v>0</v>
      </c>
      <c r="F1330">
        <v>0</v>
      </c>
      <c r="G1330">
        <v>33.799999999999997</v>
      </c>
      <c r="H1330">
        <v>0.121</v>
      </c>
      <c r="I1330">
        <v>54</v>
      </c>
      <c r="J1330">
        <v>1</v>
      </c>
      <c r="K1330" t="str">
        <f t="shared" si="40"/>
        <v>Senior</v>
      </c>
      <c r="L1330" t="str">
        <f t="shared" si="41"/>
        <v>Obese</v>
      </c>
    </row>
    <row r="1331" spans="1:12" x14ac:dyDescent="0.2">
      <c r="A1331">
        <v>1330</v>
      </c>
      <c r="B1331">
        <v>0</v>
      </c>
      <c r="C1331">
        <v>198</v>
      </c>
      <c r="D1331">
        <v>66</v>
      </c>
      <c r="E1331">
        <v>32</v>
      </c>
      <c r="F1331">
        <v>274</v>
      </c>
      <c r="G1331">
        <v>41.3</v>
      </c>
      <c r="H1331">
        <v>0.502</v>
      </c>
      <c r="I1331">
        <v>28</v>
      </c>
      <c r="J1331">
        <v>1</v>
      </c>
      <c r="K1331" t="str">
        <f t="shared" si="40"/>
        <v>Young</v>
      </c>
      <c r="L1331" t="str">
        <f t="shared" si="41"/>
        <v>Obese</v>
      </c>
    </row>
    <row r="1332" spans="1:12" x14ac:dyDescent="0.2">
      <c r="A1332">
        <v>1331</v>
      </c>
      <c r="B1332">
        <v>1</v>
      </c>
      <c r="C1332">
        <v>87</v>
      </c>
      <c r="D1332">
        <v>68</v>
      </c>
      <c r="E1332">
        <v>34</v>
      </c>
      <c r="F1332">
        <v>77</v>
      </c>
      <c r="G1332">
        <v>37.6</v>
      </c>
      <c r="H1332">
        <v>0.40100000000000002</v>
      </c>
      <c r="I1332">
        <v>24</v>
      </c>
      <c r="J1332">
        <v>0</v>
      </c>
      <c r="K1332" t="str">
        <f t="shared" si="40"/>
        <v>Young</v>
      </c>
      <c r="L1332" t="str">
        <f t="shared" si="41"/>
        <v>Obese</v>
      </c>
    </row>
    <row r="1333" spans="1:12" x14ac:dyDescent="0.2">
      <c r="A1333">
        <v>1332</v>
      </c>
      <c r="B1333">
        <v>6</v>
      </c>
      <c r="C1333">
        <v>99</v>
      </c>
      <c r="D1333">
        <v>60</v>
      </c>
      <c r="E1333">
        <v>19</v>
      </c>
      <c r="F1333">
        <v>54</v>
      </c>
      <c r="G1333">
        <v>26.9</v>
      </c>
      <c r="H1333">
        <v>0.497</v>
      </c>
      <c r="I1333">
        <v>32</v>
      </c>
      <c r="J1333">
        <v>0</v>
      </c>
      <c r="K1333" t="str">
        <f t="shared" si="40"/>
        <v>Middle-Aged</v>
      </c>
      <c r="L1333" t="str">
        <f t="shared" si="41"/>
        <v>Overweight</v>
      </c>
    </row>
    <row r="1334" spans="1:12" x14ac:dyDescent="0.2">
      <c r="A1334">
        <v>1333</v>
      </c>
      <c r="B1334">
        <v>0</v>
      </c>
      <c r="C1334">
        <v>91</v>
      </c>
      <c r="D1334">
        <v>80</v>
      </c>
      <c r="E1334">
        <v>0</v>
      </c>
      <c r="F1334">
        <v>0</v>
      </c>
      <c r="G1334">
        <v>32.4</v>
      </c>
      <c r="H1334">
        <v>0.60099999999999998</v>
      </c>
      <c r="I1334">
        <v>27</v>
      </c>
      <c r="J1334">
        <v>0</v>
      </c>
      <c r="K1334" t="str">
        <f t="shared" si="40"/>
        <v>Young</v>
      </c>
      <c r="L1334" t="str">
        <f t="shared" si="41"/>
        <v>Obese</v>
      </c>
    </row>
    <row r="1335" spans="1:12" x14ac:dyDescent="0.2">
      <c r="A1335">
        <v>1334</v>
      </c>
      <c r="B1335">
        <v>2</v>
      </c>
      <c r="C1335">
        <v>95</v>
      </c>
      <c r="D1335">
        <v>54</v>
      </c>
      <c r="E1335">
        <v>14</v>
      </c>
      <c r="F1335">
        <v>88</v>
      </c>
      <c r="G1335">
        <v>26.1</v>
      </c>
      <c r="H1335">
        <v>0.748</v>
      </c>
      <c r="I1335">
        <v>22</v>
      </c>
      <c r="J1335">
        <v>0</v>
      </c>
      <c r="K1335" t="str">
        <f t="shared" si="40"/>
        <v>Young</v>
      </c>
      <c r="L1335" t="str">
        <f t="shared" si="41"/>
        <v>Overweight</v>
      </c>
    </row>
    <row r="1336" spans="1:12" x14ac:dyDescent="0.2">
      <c r="A1336">
        <v>1335</v>
      </c>
      <c r="B1336">
        <v>1</v>
      </c>
      <c r="C1336">
        <v>99</v>
      </c>
      <c r="D1336">
        <v>72</v>
      </c>
      <c r="E1336">
        <v>30</v>
      </c>
      <c r="F1336">
        <v>18</v>
      </c>
      <c r="G1336">
        <v>38.6</v>
      </c>
      <c r="H1336">
        <v>0.41199999999999998</v>
      </c>
      <c r="I1336">
        <v>21</v>
      </c>
      <c r="J1336">
        <v>0</v>
      </c>
      <c r="K1336" t="str">
        <f t="shared" si="40"/>
        <v>Young</v>
      </c>
      <c r="L1336" t="str">
        <f t="shared" si="41"/>
        <v>Obese</v>
      </c>
    </row>
    <row r="1337" spans="1:12" x14ac:dyDescent="0.2">
      <c r="A1337">
        <v>1336</v>
      </c>
      <c r="B1337">
        <v>6</v>
      </c>
      <c r="C1337">
        <v>92</v>
      </c>
      <c r="D1337">
        <v>62</v>
      </c>
      <c r="E1337">
        <v>32</v>
      </c>
      <c r="F1337">
        <v>126</v>
      </c>
      <c r="G1337">
        <v>32</v>
      </c>
      <c r="H1337">
        <v>8.5000000000000006E-2</v>
      </c>
      <c r="I1337">
        <v>46</v>
      </c>
      <c r="J1337">
        <v>0</v>
      </c>
      <c r="K1337" t="str">
        <f t="shared" si="40"/>
        <v>Senior</v>
      </c>
      <c r="L1337" t="str">
        <f t="shared" si="41"/>
        <v>Obese</v>
      </c>
    </row>
    <row r="1338" spans="1:12" x14ac:dyDescent="0.2">
      <c r="A1338">
        <v>1337</v>
      </c>
      <c r="B1338">
        <v>4</v>
      </c>
      <c r="C1338">
        <v>154</v>
      </c>
      <c r="D1338">
        <v>72</v>
      </c>
      <c r="E1338">
        <v>29</v>
      </c>
      <c r="F1338">
        <v>126</v>
      </c>
      <c r="G1338">
        <v>31.3</v>
      </c>
      <c r="H1338">
        <v>0.33800000000000002</v>
      </c>
      <c r="I1338">
        <v>37</v>
      </c>
      <c r="J1338">
        <v>0</v>
      </c>
      <c r="K1338" t="str">
        <f t="shared" si="40"/>
        <v>Middle-Aged</v>
      </c>
      <c r="L1338" t="str">
        <f t="shared" si="41"/>
        <v>Obese</v>
      </c>
    </row>
    <row r="1339" spans="1:12" x14ac:dyDescent="0.2">
      <c r="A1339">
        <v>1338</v>
      </c>
      <c r="B1339">
        <v>0</v>
      </c>
      <c r="C1339">
        <v>121</v>
      </c>
      <c r="D1339">
        <v>66</v>
      </c>
      <c r="E1339">
        <v>30</v>
      </c>
      <c r="F1339">
        <v>165</v>
      </c>
      <c r="G1339">
        <v>34.299999999999997</v>
      </c>
      <c r="H1339">
        <v>0.20300000000000001</v>
      </c>
      <c r="I1339">
        <v>33</v>
      </c>
      <c r="J1339">
        <v>1</v>
      </c>
      <c r="K1339" t="str">
        <f t="shared" si="40"/>
        <v>Middle-Aged</v>
      </c>
      <c r="L1339" t="str">
        <f t="shared" si="41"/>
        <v>Obese</v>
      </c>
    </row>
    <row r="1340" spans="1:12" x14ac:dyDescent="0.2">
      <c r="A1340">
        <v>1339</v>
      </c>
      <c r="B1340">
        <v>3</v>
      </c>
      <c r="C1340">
        <v>78</v>
      </c>
      <c r="D1340">
        <v>70</v>
      </c>
      <c r="E1340">
        <v>0</v>
      </c>
      <c r="F1340">
        <v>0</v>
      </c>
      <c r="G1340">
        <v>32.5</v>
      </c>
      <c r="H1340">
        <v>0.27</v>
      </c>
      <c r="I1340">
        <v>39</v>
      </c>
      <c r="J1340">
        <v>0</v>
      </c>
      <c r="K1340" t="str">
        <f t="shared" si="40"/>
        <v>Middle-Aged</v>
      </c>
      <c r="L1340" t="str">
        <f t="shared" si="41"/>
        <v>Obese</v>
      </c>
    </row>
    <row r="1341" spans="1:12" x14ac:dyDescent="0.2">
      <c r="A1341">
        <v>1340</v>
      </c>
      <c r="B1341">
        <v>2</v>
      </c>
      <c r="C1341">
        <v>130</v>
      </c>
      <c r="D1341">
        <v>96</v>
      </c>
      <c r="E1341">
        <v>0</v>
      </c>
      <c r="F1341">
        <v>0</v>
      </c>
      <c r="G1341">
        <v>22.6</v>
      </c>
      <c r="H1341">
        <v>0.26800000000000002</v>
      </c>
      <c r="I1341">
        <v>21</v>
      </c>
      <c r="J1341">
        <v>0</v>
      </c>
      <c r="K1341" t="str">
        <f t="shared" si="40"/>
        <v>Young</v>
      </c>
      <c r="L1341" t="str">
        <f t="shared" si="41"/>
        <v>Normal</v>
      </c>
    </row>
    <row r="1342" spans="1:12" x14ac:dyDescent="0.2">
      <c r="A1342">
        <v>1341</v>
      </c>
      <c r="B1342">
        <v>3</v>
      </c>
      <c r="C1342">
        <v>111</v>
      </c>
      <c r="D1342">
        <v>58</v>
      </c>
      <c r="E1342">
        <v>31</v>
      </c>
      <c r="F1342">
        <v>44</v>
      </c>
      <c r="G1342">
        <v>29.5</v>
      </c>
      <c r="H1342">
        <v>0.43</v>
      </c>
      <c r="I1342">
        <v>22</v>
      </c>
      <c r="J1342">
        <v>0</v>
      </c>
      <c r="K1342" t="str">
        <f t="shared" si="40"/>
        <v>Young</v>
      </c>
      <c r="L1342" t="str">
        <f t="shared" si="41"/>
        <v>Overweight</v>
      </c>
    </row>
    <row r="1343" spans="1:12" x14ac:dyDescent="0.2">
      <c r="A1343">
        <v>1342</v>
      </c>
      <c r="B1343">
        <v>2</v>
      </c>
      <c r="C1343">
        <v>98</v>
      </c>
      <c r="D1343">
        <v>60</v>
      </c>
      <c r="E1343">
        <v>17</v>
      </c>
      <c r="F1343">
        <v>120</v>
      </c>
      <c r="G1343">
        <v>34.700000000000003</v>
      </c>
      <c r="H1343">
        <v>0.19800000000000001</v>
      </c>
      <c r="I1343">
        <v>22</v>
      </c>
      <c r="J1343">
        <v>0</v>
      </c>
      <c r="K1343" t="str">
        <f t="shared" si="40"/>
        <v>Young</v>
      </c>
      <c r="L1343" t="str">
        <f t="shared" si="41"/>
        <v>Obese</v>
      </c>
    </row>
    <row r="1344" spans="1:12" x14ac:dyDescent="0.2">
      <c r="A1344">
        <v>1343</v>
      </c>
      <c r="B1344">
        <v>1</v>
      </c>
      <c r="C1344">
        <v>143</v>
      </c>
      <c r="D1344">
        <v>86</v>
      </c>
      <c r="E1344">
        <v>30</v>
      </c>
      <c r="F1344">
        <v>330</v>
      </c>
      <c r="G1344">
        <v>30.1</v>
      </c>
      <c r="H1344">
        <v>0.89200000000000002</v>
      </c>
      <c r="I1344">
        <v>23</v>
      </c>
      <c r="J1344">
        <v>0</v>
      </c>
      <c r="K1344" t="str">
        <f t="shared" si="40"/>
        <v>Young</v>
      </c>
      <c r="L1344" t="str">
        <f t="shared" si="41"/>
        <v>Obese</v>
      </c>
    </row>
    <row r="1345" spans="1:12" x14ac:dyDescent="0.2">
      <c r="A1345">
        <v>1344</v>
      </c>
      <c r="B1345">
        <v>1</v>
      </c>
      <c r="C1345">
        <v>119</v>
      </c>
      <c r="D1345">
        <v>44</v>
      </c>
      <c r="E1345">
        <v>47</v>
      </c>
      <c r="F1345">
        <v>63</v>
      </c>
      <c r="G1345">
        <v>35.5</v>
      </c>
      <c r="H1345">
        <v>0.28000000000000003</v>
      </c>
      <c r="I1345">
        <v>25</v>
      </c>
      <c r="J1345">
        <v>0</v>
      </c>
      <c r="K1345" t="str">
        <f t="shared" si="40"/>
        <v>Young</v>
      </c>
      <c r="L1345" t="str">
        <f t="shared" si="41"/>
        <v>Obese</v>
      </c>
    </row>
    <row r="1346" spans="1:12" x14ac:dyDescent="0.2">
      <c r="A1346">
        <v>1345</v>
      </c>
      <c r="B1346">
        <v>6</v>
      </c>
      <c r="C1346">
        <v>108</v>
      </c>
      <c r="D1346">
        <v>44</v>
      </c>
      <c r="E1346">
        <v>20</v>
      </c>
      <c r="F1346">
        <v>130</v>
      </c>
      <c r="G1346">
        <v>24</v>
      </c>
      <c r="H1346">
        <v>0.81299999999999994</v>
      </c>
      <c r="I1346">
        <v>35</v>
      </c>
      <c r="J1346">
        <v>0</v>
      </c>
      <c r="K1346" t="str">
        <f t="shared" si="40"/>
        <v>Middle-Aged</v>
      </c>
      <c r="L1346" t="str">
        <f t="shared" si="41"/>
        <v>Normal</v>
      </c>
    </row>
    <row r="1347" spans="1:12" x14ac:dyDescent="0.2">
      <c r="A1347">
        <v>1346</v>
      </c>
      <c r="B1347">
        <v>2</v>
      </c>
      <c r="C1347">
        <v>118</v>
      </c>
      <c r="D1347">
        <v>80</v>
      </c>
      <c r="E1347">
        <v>0</v>
      </c>
      <c r="F1347">
        <v>0</v>
      </c>
      <c r="G1347">
        <v>42.9</v>
      </c>
      <c r="H1347">
        <v>0.69299999999999995</v>
      </c>
      <c r="I1347">
        <v>21</v>
      </c>
      <c r="J1347">
        <v>1</v>
      </c>
      <c r="K1347" t="str">
        <f t="shared" ref="K1347:K1410" si="42">IF(I1347&lt;30, "Young", IF( I1347&lt;45, "Middle-Aged", "Senior"))</f>
        <v>Young</v>
      </c>
      <c r="L1347" t="str">
        <f t="shared" ref="L1347:L1410" si="43">IF(G1347&lt;18.5, "Underweight", IF(G1347&lt;25, "Normal", IF(G1347&lt;30, "Overweight", "Obese")))</f>
        <v>Obese</v>
      </c>
    </row>
    <row r="1348" spans="1:12" x14ac:dyDescent="0.2">
      <c r="A1348">
        <v>1347</v>
      </c>
      <c r="B1348">
        <v>10</v>
      </c>
      <c r="C1348">
        <v>133</v>
      </c>
      <c r="D1348">
        <v>68</v>
      </c>
      <c r="E1348">
        <v>0</v>
      </c>
      <c r="F1348">
        <v>0</v>
      </c>
      <c r="G1348">
        <v>27</v>
      </c>
      <c r="H1348">
        <v>0.245</v>
      </c>
      <c r="I1348">
        <v>36</v>
      </c>
      <c r="J1348">
        <v>0</v>
      </c>
      <c r="K1348" t="str">
        <f t="shared" si="42"/>
        <v>Middle-Aged</v>
      </c>
      <c r="L1348" t="str">
        <f t="shared" si="43"/>
        <v>Overweight</v>
      </c>
    </row>
    <row r="1349" spans="1:12" x14ac:dyDescent="0.2">
      <c r="A1349">
        <v>1348</v>
      </c>
      <c r="B1349">
        <v>2</v>
      </c>
      <c r="C1349">
        <v>197</v>
      </c>
      <c r="D1349">
        <v>70</v>
      </c>
      <c r="E1349">
        <v>99</v>
      </c>
      <c r="F1349">
        <v>0</v>
      </c>
      <c r="G1349">
        <v>34.700000000000003</v>
      </c>
      <c r="H1349">
        <v>0.57499999999999996</v>
      </c>
      <c r="I1349">
        <v>62</v>
      </c>
      <c r="J1349">
        <v>1</v>
      </c>
      <c r="K1349" t="str">
        <f t="shared" si="42"/>
        <v>Senior</v>
      </c>
      <c r="L1349" t="str">
        <f t="shared" si="43"/>
        <v>Obese</v>
      </c>
    </row>
    <row r="1350" spans="1:12" x14ac:dyDescent="0.2">
      <c r="A1350">
        <v>1349</v>
      </c>
      <c r="B1350">
        <v>0</v>
      </c>
      <c r="C1350">
        <v>151</v>
      </c>
      <c r="D1350">
        <v>90</v>
      </c>
      <c r="E1350">
        <v>46</v>
      </c>
      <c r="F1350">
        <v>0</v>
      </c>
      <c r="G1350">
        <v>42.1</v>
      </c>
      <c r="H1350">
        <v>0.371</v>
      </c>
      <c r="I1350">
        <v>21</v>
      </c>
      <c r="J1350">
        <v>1</v>
      </c>
      <c r="K1350" t="str">
        <f t="shared" si="42"/>
        <v>Young</v>
      </c>
      <c r="L1350" t="str">
        <f t="shared" si="43"/>
        <v>Obese</v>
      </c>
    </row>
    <row r="1351" spans="1:12" x14ac:dyDescent="0.2">
      <c r="A1351">
        <v>1350</v>
      </c>
      <c r="B1351">
        <v>6</v>
      </c>
      <c r="C1351">
        <v>109</v>
      </c>
      <c r="D1351">
        <v>60</v>
      </c>
      <c r="E1351">
        <v>27</v>
      </c>
      <c r="F1351">
        <v>0</v>
      </c>
      <c r="G1351">
        <v>25</v>
      </c>
      <c r="H1351">
        <v>0.20599999999999999</v>
      </c>
      <c r="I1351">
        <v>27</v>
      </c>
      <c r="J1351">
        <v>0</v>
      </c>
      <c r="K1351" t="str">
        <f t="shared" si="42"/>
        <v>Young</v>
      </c>
      <c r="L1351" t="str">
        <f t="shared" si="43"/>
        <v>Overweight</v>
      </c>
    </row>
    <row r="1352" spans="1:12" x14ac:dyDescent="0.2">
      <c r="A1352">
        <v>1351</v>
      </c>
      <c r="B1352">
        <v>12</v>
      </c>
      <c r="C1352">
        <v>121</v>
      </c>
      <c r="D1352">
        <v>78</v>
      </c>
      <c r="E1352">
        <v>17</v>
      </c>
      <c r="F1352">
        <v>0</v>
      </c>
      <c r="G1352">
        <v>26.5</v>
      </c>
      <c r="H1352">
        <v>0.25900000000000001</v>
      </c>
      <c r="I1352">
        <v>62</v>
      </c>
      <c r="J1352">
        <v>0</v>
      </c>
      <c r="K1352" t="str">
        <f t="shared" si="42"/>
        <v>Senior</v>
      </c>
      <c r="L1352" t="str">
        <f t="shared" si="43"/>
        <v>Overweight</v>
      </c>
    </row>
    <row r="1353" spans="1:12" x14ac:dyDescent="0.2">
      <c r="A1353">
        <v>1352</v>
      </c>
      <c r="B1353">
        <v>8</v>
      </c>
      <c r="C1353">
        <v>100</v>
      </c>
      <c r="D1353">
        <v>76</v>
      </c>
      <c r="E1353">
        <v>0</v>
      </c>
      <c r="F1353">
        <v>0</v>
      </c>
      <c r="G1353">
        <v>38.700000000000003</v>
      </c>
      <c r="H1353">
        <v>0.19</v>
      </c>
      <c r="I1353">
        <v>42</v>
      </c>
      <c r="J1353">
        <v>0</v>
      </c>
      <c r="K1353" t="str">
        <f t="shared" si="42"/>
        <v>Middle-Aged</v>
      </c>
      <c r="L1353" t="str">
        <f t="shared" si="43"/>
        <v>Obese</v>
      </c>
    </row>
    <row r="1354" spans="1:12" x14ac:dyDescent="0.2">
      <c r="A1354">
        <v>1353</v>
      </c>
      <c r="B1354">
        <v>8</v>
      </c>
      <c r="C1354">
        <v>124</v>
      </c>
      <c r="D1354">
        <v>76</v>
      </c>
      <c r="E1354">
        <v>24</v>
      </c>
      <c r="F1354">
        <v>600</v>
      </c>
      <c r="G1354">
        <v>28.7</v>
      </c>
      <c r="H1354">
        <v>0.68700000000000006</v>
      </c>
      <c r="I1354">
        <v>52</v>
      </c>
      <c r="J1354">
        <v>1</v>
      </c>
      <c r="K1354" t="str">
        <f t="shared" si="42"/>
        <v>Senior</v>
      </c>
      <c r="L1354" t="str">
        <f t="shared" si="43"/>
        <v>Overweight</v>
      </c>
    </row>
    <row r="1355" spans="1:12" x14ac:dyDescent="0.2">
      <c r="A1355">
        <v>1354</v>
      </c>
      <c r="B1355">
        <v>1</v>
      </c>
      <c r="C1355">
        <v>93</v>
      </c>
      <c r="D1355">
        <v>56</v>
      </c>
      <c r="E1355">
        <v>11</v>
      </c>
      <c r="F1355">
        <v>0</v>
      </c>
      <c r="G1355">
        <v>22.5</v>
      </c>
      <c r="H1355">
        <v>0.41699999999999998</v>
      </c>
      <c r="I1355">
        <v>22</v>
      </c>
      <c r="J1355">
        <v>0</v>
      </c>
      <c r="K1355" t="str">
        <f t="shared" si="42"/>
        <v>Young</v>
      </c>
      <c r="L1355" t="str">
        <f t="shared" si="43"/>
        <v>Normal</v>
      </c>
    </row>
    <row r="1356" spans="1:12" x14ac:dyDescent="0.2">
      <c r="A1356">
        <v>1355</v>
      </c>
      <c r="B1356">
        <v>8</v>
      </c>
      <c r="C1356">
        <v>143</v>
      </c>
      <c r="D1356">
        <v>66</v>
      </c>
      <c r="E1356">
        <v>0</v>
      </c>
      <c r="F1356">
        <v>0</v>
      </c>
      <c r="G1356">
        <v>34.9</v>
      </c>
      <c r="H1356">
        <v>0.129</v>
      </c>
      <c r="I1356">
        <v>41</v>
      </c>
      <c r="J1356">
        <v>1</v>
      </c>
      <c r="K1356" t="str">
        <f t="shared" si="42"/>
        <v>Middle-Aged</v>
      </c>
      <c r="L1356" t="str">
        <f t="shared" si="43"/>
        <v>Obese</v>
      </c>
    </row>
    <row r="1357" spans="1:12" x14ac:dyDescent="0.2">
      <c r="A1357">
        <v>1356</v>
      </c>
      <c r="B1357">
        <v>6</v>
      </c>
      <c r="C1357">
        <v>103</v>
      </c>
      <c r="D1357">
        <v>66</v>
      </c>
      <c r="E1357">
        <v>0</v>
      </c>
      <c r="F1357">
        <v>0</v>
      </c>
      <c r="G1357">
        <v>24.3</v>
      </c>
      <c r="H1357">
        <v>0.249</v>
      </c>
      <c r="I1357">
        <v>29</v>
      </c>
      <c r="J1357">
        <v>0</v>
      </c>
      <c r="K1357" t="str">
        <f t="shared" si="42"/>
        <v>Young</v>
      </c>
      <c r="L1357" t="str">
        <f t="shared" si="43"/>
        <v>Normal</v>
      </c>
    </row>
    <row r="1358" spans="1:12" x14ac:dyDescent="0.2">
      <c r="A1358">
        <v>1357</v>
      </c>
      <c r="B1358">
        <v>3</v>
      </c>
      <c r="C1358">
        <v>176</v>
      </c>
      <c r="D1358">
        <v>86</v>
      </c>
      <c r="E1358">
        <v>27</v>
      </c>
      <c r="F1358">
        <v>156</v>
      </c>
      <c r="G1358">
        <v>33.299999999999997</v>
      </c>
      <c r="H1358">
        <v>1.1539999999999999</v>
      </c>
      <c r="I1358">
        <v>52</v>
      </c>
      <c r="J1358">
        <v>1</v>
      </c>
      <c r="K1358" t="str">
        <f t="shared" si="42"/>
        <v>Senior</v>
      </c>
      <c r="L1358" t="str">
        <f t="shared" si="43"/>
        <v>Obese</v>
      </c>
    </row>
    <row r="1359" spans="1:12" x14ac:dyDescent="0.2">
      <c r="A1359">
        <v>1358</v>
      </c>
      <c r="B1359">
        <v>0</v>
      </c>
      <c r="C1359">
        <v>73</v>
      </c>
      <c r="D1359">
        <v>121</v>
      </c>
      <c r="E1359">
        <v>0</v>
      </c>
      <c r="F1359">
        <v>0</v>
      </c>
      <c r="G1359">
        <v>21.1</v>
      </c>
      <c r="H1359">
        <v>0.34200000000000003</v>
      </c>
      <c r="I1359">
        <v>25</v>
      </c>
      <c r="J1359">
        <v>0</v>
      </c>
      <c r="K1359" t="str">
        <f t="shared" si="42"/>
        <v>Young</v>
      </c>
      <c r="L1359" t="str">
        <f t="shared" si="43"/>
        <v>Normal</v>
      </c>
    </row>
    <row r="1360" spans="1:12" x14ac:dyDescent="0.2">
      <c r="A1360">
        <v>1359</v>
      </c>
      <c r="B1360">
        <v>11</v>
      </c>
      <c r="C1360">
        <v>111</v>
      </c>
      <c r="D1360">
        <v>84</v>
      </c>
      <c r="E1360">
        <v>40</v>
      </c>
      <c r="F1360">
        <v>0</v>
      </c>
      <c r="G1360">
        <v>46.8</v>
      </c>
      <c r="H1360">
        <v>0.92500000000000004</v>
      </c>
      <c r="I1360">
        <v>45</v>
      </c>
      <c r="J1360">
        <v>1</v>
      </c>
      <c r="K1360" t="str">
        <f t="shared" si="42"/>
        <v>Senior</v>
      </c>
      <c r="L1360" t="str">
        <f t="shared" si="43"/>
        <v>Obese</v>
      </c>
    </row>
    <row r="1361" spans="1:12" x14ac:dyDescent="0.2">
      <c r="A1361">
        <v>1360</v>
      </c>
      <c r="B1361">
        <v>2</v>
      </c>
      <c r="C1361">
        <v>112</v>
      </c>
      <c r="D1361">
        <v>78</v>
      </c>
      <c r="E1361">
        <v>50</v>
      </c>
      <c r="F1361">
        <v>140</v>
      </c>
      <c r="G1361">
        <v>39.4</v>
      </c>
      <c r="H1361">
        <v>0.17499999999999999</v>
      </c>
      <c r="I1361">
        <v>24</v>
      </c>
      <c r="J1361">
        <v>0</v>
      </c>
      <c r="K1361" t="str">
        <f t="shared" si="42"/>
        <v>Young</v>
      </c>
      <c r="L1361" t="str">
        <f t="shared" si="43"/>
        <v>Obese</v>
      </c>
    </row>
    <row r="1362" spans="1:12" x14ac:dyDescent="0.2">
      <c r="A1362">
        <v>1361</v>
      </c>
      <c r="B1362">
        <v>3</v>
      </c>
      <c r="C1362">
        <v>132</v>
      </c>
      <c r="D1362">
        <v>80</v>
      </c>
      <c r="E1362">
        <v>0</v>
      </c>
      <c r="F1362">
        <v>0</v>
      </c>
      <c r="G1362">
        <v>34.4</v>
      </c>
      <c r="H1362">
        <v>0.40200000000000002</v>
      </c>
      <c r="I1362">
        <v>44</v>
      </c>
      <c r="J1362">
        <v>1</v>
      </c>
      <c r="K1362" t="str">
        <f t="shared" si="42"/>
        <v>Middle-Aged</v>
      </c>
      <c r="L1362" t="str">
        <f t="shared" si="43"/>
        <v>Obese</v>
      </c>
    </row>
    <row r="1363" spans="1:12" x14ac:dyDescent="0.2">
      <c r="A1363">
        <v>1362</v>
      </c>
      <c r="B1363">
        <v>2</v>
      </c>
      <c r="C1363">
        <v>82</v>
      </c>
      <c r="D1363">
        <v>52</v>
      </c>
      <c r="E1363">
        <v>22</v>
      </c>
      <c r="F1363">
        <v>115</v>
      </c>
      <c r="G1363">
        <v>28.5</v>
      </c>
      <c r="H1363">
        <v>1.6990000000000001</v>
      </c>
      <c r="I1363">
        <v>25</v>
      </c>
      <c r="J1363">
        <v>0</v>
      </c>
      <c r="K1363" t="str">
        <f t="shared" si="42"/>
        <v>Young</v>
      </c>
      <c r="L1363" t="str">
        <f t="shared" si="43"/>
        <v>Overweight</v>
      </c>
    </row>
    <row r="1364" spans="1:12" x14ac:dyDescent="0.2">
      <c r="A1364">
        <v>1363</v>
      </c>
      <c r="B1364">
        <v>6</v>
      </c>
      <c r="C1364">
        <v>123</v>
      </c>
      <c r="D1364">
        <v>72</v>
      </c>
      <c r="E1364">
        <v>45</v>
      </c>
      <c r="F1364">
        <v>230</v>
      </c>
      <c r="G1364">
        <v>33.6</v>
      </c>
      <c r="H1364">
        <v>0.73299999999999998</v>
      </c>
      <c r="I1364">
        <v>34</v>
      </c>
      <c r="J1364">
        <v>0</v>
      </c>
      <c r="K1364" t="str">
        <f t="shared" si="42"/>
        <v>Middle-Aged</v>
      </c>
      <c r="L1364" t="str">
        <f t="shared" si="43"/>
        <v>Obese</v>
      </c>
    </row>
    <row r="1365" spans="1:12" x14ac:dyDescent="0.2">
      <c r="A1365">
        <v>1364</v>
      </c>
      <c r="B1365">
        <v>0</v>
      </c>
      <c r="C1365">
        <v>188</v>
      </c>
      <c r="D1365">
        <v>82</v>
      </c>
      <c r="E1365">
        <v>14</v>
      </c>
      <c r="F1365">
        <v>185</v>
      </c>
      <c r="G1365">
        <v>32</v>
      </c>
      <c r="H1365">
        <v>0.68200000000000005</v>
      </c>
      <c r="I1365">
        <v>22</v>
      </c>
      <c r="J1365">
        <v>1</v>
      </c>
      <c r="K1365" t="str">
        <f t="shared" si="42"/>
        <v>Young</v>
      </c>
      <c r="L1365" t="str">
        <f t="shared" si="43"/>
        <v>Obese</v>
      </c>
    </row>
    <row r="1366" spans="1:12" x14ac:dyDescent="0.2">
      <c r="A1366">
        <v>1365</v>
      </c>
      <c r="B1366">
        <v>0</v>
      </c>
      <c r="C1366">
        <v>67</v>
      </c>
      <c r="D1366">
        <v>76</v>
      </c>
      <c r="E1366">
        <v>0</v>
      </c>
      <c r="F1366">
        <v>0</v>
      </c>
      <c r="G1366">
        <v>45.3</v>
      </c>
      <c r="H1366">
        <v>0.19400000000000001</v>
      </c>
      <c r="I1366">
        <v>46</v>
      </c>
      <c r="J1366">
        <v>0</v>
      </c>
      <c r="K1366" t="str">
        <f t="shared" si="42"/>
        <v>Senior</v>
      </c>
      <c r="L1366" t="str">
        <f t="shared" si="43"/>
        <v>Obese</v>
      </c>
    </row>
    <row r="1367" spans="1:12" x14ac:dyDescent="0.2">
      <c r="A1367">
        <v>1366</v>
      </c>
      <c r="B1367">
        <v>1</v>
      </c>
      <c r="C1367">
        <v>89</v>
      </c>
      <c r="D1367">
        <v>24</v>
      </c>
      <c r="E1367">
        <v>19</v>
      </c>
      <c r="F1367">
        <v>25</v>
      </c>
      <c r="G1367">
        <v>27.8</v>
      </c>
      <c r="H1367">
        <v>0.55900000000000005</v>
      </c>
      <c r="I1367">
        <v>21</v>
      </c>
      <c r="J1367">
        <v>0</v>
      </c>
      <c r="K1367" t="str">
        <f t="shared" si="42"/>
        <v>Young</v>
      </c>
      <c r="L1367" t="str">
        <f t="shared" si="43"/>
        <v>Overweight</v>
      </c>
    </row>
    <row r="1368" spans="1:12" x14ac:dyDescent="0.2">
      <c r="A1368">
        <v>1367</v>
      </c>
      <c r="B1368">
        <v>1</v>
      </c>
      <c r="C1368">
        <v>173</v>
      </c>
      <c r="D1368">
        <v>74</v>
      </c>
      <c r="E1368">
        <v>0</v>
      </c>
      <c r="F1368">
        <v>0</v>
      </c>
      <c r="G1368">
        <v>36.799999999999997</v>
      </c>
      <c r="H1368">
        <v>8.7999999999999995E-2</v>
      </c>
      <c r="I1368">
        <v>38</v>
      </c>
      <c r="J1368">
        <v>1</v>
      </c>
      <c r="K1368" t="str">
        <f t="shared" si="42"/>
        <v>Middle-Aged</v>
      </c>
      <c r="L1368" t="str">
        <f t="shared" si="43"/>
        <v>Obese</v>
      </c>
    </row>
    <row r="1369" spans="1:12" x14ac:dyDescent="0.2">
      <c r="A1369">
        <v>1368</v>
      </c>
      <c r="B1369">
        <v>1</v>
      </c>
      <c r="C1369">
        <v>109</v>
      </c>
      <c r="D1369">
        <v>38</v>
      </c>
      <c r="E1369">
        <v>18</v>
      </c>
      <c r="F1369">
        <v>120</v>
      </c>
      <c r="G1369">
        <v>23.1</v>
      </c>
      <c r="H1369">
        <v>0.40699999999999997</v>
      </c>
      <c r="I1369">
        <v>26</v>
      </c>
      <c r="J1369">
        <v>0</v>
      </c>
      <c r="K1369" t="str">
        <f t="shared" si="42"/>
        <v>Young</v>
      </c>
      <c r="L1369" t="str">
        <f t="shared" si="43"/>
        <v>Normal</v>
      </c>
    </row>
    <row r="1370" spans="1:12" x14ac:dyDescent="0.2">
      <c r="A1370">
        <v>1369</v>
      </c>
      <c r="B1370">
        <v>1</v>
      </c>
      <c r="C1370">
        <v>108</v>
      </c>
      <c r="D1370">
        <v>88</v>
      </c>
      <c r="E1370">
        <v>19</v>
      </c>
      <c r="F1370">
        <v>0</v>
      </c>
      <c r="G1370">
        <v>27.1</v>
      </c>
      <c r="H1370">
        <v>0.4</v>
      </c>
      <c r="I1370">
        <v>24</v>
      </c>
      <c r="J1370">
        <v>0</v>
      </c>
      <c r="K1370" t="str">
        <f t="shared" si="42"/>
        <v>Young</v>
      </c>
      <c r="L1370" t="str">
        <f t="shared" si="43"/>
        <v>Overweight</v>
      </c>
    </row>
    <row r="1371" spans="1:12" x14ac:dyDescent="0.2">
      <c r="A1371">
        <v>1370</v>
      </c>
      <c r="B1371">
        <v>6</v>
      </c>
      <c r="C1371">
        <v>96</v>
      </c>
      <c r="D1371">
        <v>121</v>
      </c>
      <c r="E1371">
        <v>0</v>
      </c>
      <c r="F1371">
        <v>0</v>
      </c>
      <c r="G1371">
        <v>23.7</v>
      </c>
      <c r="H1371">
        <v>0.19</v>
      </c>
      <c r="I1371">
        <v>28</v>
      </c>
      <c r="J1371">
        <v>0</v>
      </c>
      <c r="K1371" t="str">
        <f t="shared" si="42"/>
        <v>Young</v>
      </c>
      <c r="L1371" t="str">
        <f t="shared" si="43"/>
        <v>Normal</v>
      </c>
    </row>
    <row r="1372" spans="1:12" x14ac:dyDescent="0.2">
      <c r="A1372">
        <v>1371</v>
      </c>
      <c r="B1372">
        <v>1</v>
      </c>
      <c r="C1372">
        <v>124</v>
      </c>
      <c r="D1372">
        <v>74</v>
      </c>
      <c r="E1372">
        <v>36</v>
      </c>
      <c r="F1372">
        <v>0</v>
      </c>
      <c r="G1372">
        <v>27.8</v>
      </c>
      <c r="H1372">
        <v>0.1</v>
      </c>
      <c r="I1372">
        <v>30</v>
      </c>
      <c r="J1372">
        <v>0</v>
      </c>
      <c r="K1372" t="str">
        <f t="shared" si="42"/>
        <v>Middle-Aged</v>
      </c>
      <c r="L1372" t="str">
        <f t="shared" si="43"/>
        <v>Overweight</v>
      </c>
    </row>
    <row r="1373" spans="1:12" x14ac:dyDescent="0.2">
      <c r="A1373">
        <v>1372</v>
      </c>
      <c r="B1373">
        <v>7</v>
      </c>
      <c r="C1373">
        <v>150</v>
      </c>
      <c r="D1373">
        <v>78</v>
      </c>
      <c r="E1373">
        <v>29</v>
      </c>
      <c r="F1373">
        <v>126</v>
      </c>
      <c r="G1373">
        <v>35.200000000000003</v>
      </c>
      <c r="H1373">
        <v>0.69199999999999995</v>
      </c>
      <c r="I1373">
        <v>54</v>
      </c>
      <c r="J1373">
        <v>1</v>
      </c>
      <c r="K1373" t="str">
        <f t="shared" si="42"/>
        <v>Senior</v>
      </c>
      <c r="L1373" t="str">
        <f t="shared" si="43"/>
        <v>Obese</v>
      </c>
    </row>
    <row r="1374" spans="1:12" x14ac:dyDescent="0.2">
      <c r="A1374">
        <v>1373</v>
      </c>
      <c r="B1374">
        <v>4</v>
      </c>
      <c r="C1374">
        <v>183</v>
      </c>
      <c r="D1374">
        <v>121</v>
      </c>
      <c r="E1374">
        <v>0</v>
      </c>
      <c r="F1374">
        <v>0</v>
      </c>
      <c r="G1374">
        <v>28.4</v>
      </c>
      <c r="H1374">
        <v>0.21199999999999999</v>
      </c>
      <c r="I1374">
        <v>36</v>
      </c>
      <c r="J1374">
        <v>1</v>
      </c>
      <c r="K1374" t="str">
        <f t="shared" si="42"/>
        <v>Middle-Aged</v>
      </c>
      <c r="L1374" t="str">
        <f t="shared" si="43"/>
        <v>Overweight</v>
      </c>
    </row>
    <row r="1375" spans="1:12" x14ac:dyDescent="0.2">
      <c r="A1375">
        <v>1374</v>
      </c>
      <c r="B1375">
        <v>1</v>
      </c>
      <c r="C1375">
        <v>124</v>
      </c>
      <c r="D1375">
        <v>60</v>
      </c>
      <c r="E1375">
        <v>32</v>
      </c>
      <c r="F1375">
        <v>0</v>
      </c>
      <c r="G1375">
        <v>35.799999999999997</v>
      </c>
      <c r="H1375">
        <v>0.51400000000000001</v>
      </c>
      <c r="I1375">
        <v>21</v>
      </c>
      <c r="J1375">
        <v>0</v>
      </c>
      <c r="K1375" t="str">
        <f t="shared" si="42"/>
        <v>Young</v>
      </c>
      <c r="L1375" t="str">
        <f t="shared" si="43"/>
        <v>Obese</v>
      </c>
    </row>
    <row r="1376" spans="1:12" x14ac:dyDescent="0.2">
      <c r="A1376">
        <v>1375</v>
      </c>
      <c r="B1376">
        <v>1</v>
      </c>
      <c r="C1376">
        <v>181</v>
      </c>
      <c r="D1376">
        <v>78</v>
      </c>
      <c r="E1376">
        <v>42</v>
      </c>
      <c r="F1376">
        <v>293</v>
      </c>
      <c r="G1376">
        <v>40</v>
      </c>
      <c r="H1376">
        <v>1.258</v>
      </c>
      <c r="I1376">
        <v>22</v>
      </c>
      <c r="J1376">
        <v>1</v>
      </c>
      <c r="K1376" t="str">
        <f t="shared" si="42"/>
        <v>Young</v>
      </c>
      <c r="L1376" t="str">
        <f t="shared" si="43"/>
        <v>Obese</v>
      </c>
    </row>
    <row r="1377" spans="1:12" x14ac:dyDescent="0.2">
      <c r="A1377">
        <v>1376</v>
      </c>
      <c r="B1377">
        <v>1</v>
      </c>
      <c r="C1377">
        <v>92</v>
      </c>
      <c r="D1377">
        <v>62</v>
      </c>
      <c r="E1377">
        <v>25</v>
      </c>
      <c r="F1377">
        <v>41</v>
      </c>
      <c r="G1377">
        <v>19.5</v>
      </c>
      <c r="H1377">
        <v>0.48199999999999998</v>
      </c>
      <c r="I1377">
        <v>25</v>
      </c>
      <c r="J1377">
        <v>0</v>
      </c>
      <c r="K1377" t="str">
        <f t="shared" si="42"/>
        <v>Young</v>
      </c>
      <c r="L1377" t="str">
        <f t="shared" si="43"/>
        <v>Normal</v>
      </c>
    </row>
    <row r="1378" spans="1:12" x14ac:dyDescent="0.2">
      <c r="A1378">
        <v>1377</v>
      </c>
      <c r="B1378">
        <v>0</v>
      </c>
      <c r="C1378">
        <v>152</v>
      </c>
      <c r="D1378">
        <v>82</v>
      </c>
      <c r="E1378">
        <v>39</v>
      </c>
      <c r="F1378">
        <v>272</v>
      </c>
      <c r="G1378">
        <v>41.5</v>
      </c>
      <c r="H1378">
        <v>0.27</v>
      </c>
      <c r="I1378">
        <v>27</v>
      </c>
      <c r="J1378">
        <v>0</v>
      </c>
      <c r="K1378" t="str">
        <f t="shared" si="42"/>
        <v>Young</v>
      </c>
      <c r="L1378" t="str">
        <f t="shared" si="43"/>
        <v>Obese</v>
      </c>
    </row>
    <row r="1379" spans="1:12" x14ac:dyDescent="0.2">
      <c r="A1379">
        <v>1378</v>
      </c>
      <c r="B1379">
        <v>1</v>
      </c>
      <c r="C1379">
        <v>111</v>
      </c>
      <c r="D1379">
        <v>62</v>
      </c>
      <c r="E1379">
        <v>13</v>
      </c>
      <c r="F1379">
        <v>182</v>
      </c>
      <c r="G1379">
        <v>24</v>
      </c>
      <c r="H1379">
        <v>0.13800000000000001</v>
      </c>
      <c r="I1379">
        <v>23</v>
      </c>
      <c r="J1379">
        <v>0</v>
      </c>
      <c r="K1379" t="str">
        <f t="shared" si="42"/>
        <v>Young</v>
      </c>
      <c r="L1379" t="str">
        <f t="shared" si="43"/>
        <v>Normal</v>
      </c>
    </row>
    <row r="1380" spans="1:12" x14ac:dyDescent="0.2">
      <c r="A1380">
        <v>1379</v>
      </c>
      <c r="B1380">
        <v>3</v>
      </c>
      <c r="C1380">
        <v>106</v>
      </c>
      <c r="D1380">
        <v>54</v>
      </c>
      <c r="E1380">
        <v>21</v>
      </c>
      <c r="F1380">
        <v>158</v>
      </c>
      <c r="G1380">
        <v>30.9</v>
      </c>
      <c r="H1380">
        <v>0.29199999999999998</v>
      </c>
      <c r="I1380">
        <v>24</v>
      </c>
      <c r="J1380">
        <v>0</v>
      </c>
      <c r="K1380" t="str">
        <f t="shared" si="42"/>
        <v>Young</v>
      </c>
      <c r="L1380" t="str">
        <f t="shared" si="43"/>
        <v>Obese</v>
      </c>
    </row>
    <row r="1381" spans="1:12" x14ac:dyDescent="0.2">
      <c r="A1381">
        <v>1380</v>
      </c>
      <c r="B1381">
        <v>3</v>
      </c>
      <c r="C1381">
        <v>174</v>
      </c>
      <c r="D1381">
        <v>58</v>
      </c>
      <c r="E1381">
        <v>22</v>
      </c>
      <c r="F1381">
        <v>194</v>
      </c>
      <c r="G1381">
        <v>32.9</v>
      </c>
      <c r="H1381">
        <v>0.59299999999999997</v>
      </c>
      <c r="I1381">
        <v>36</v>
      </c>
      <c r="J1381">
        <v>1</v>
      </c>
      <c r="K1381" t="str">
        <f t="shared" si="42"/>
        <v>Middle-Aged</v>
      </c>
      <c r="L1381" t="str">
        <f t="shared" si="43"/>
        <v>Obese</v>
      </c>
    </row>
    <row r="1382" spans="1:12" x14ac:dyDescent="0.2">
      <c r="A1382">
        <v>1381</v>
      </c>
      <c r="B1382">
        <v>7</v>
      </c>
      <c r="C1382">
        <v>168</v>
      </c>
      <c r="D1382">
        <v>88</v>
      </c>
      <c r="E1382">
        <v>42</v>
      </c>
      <c r="F1382">
        <v>321</v>
      </c>
      <c r="G1382">
        <v>38.200000000000003</v>
      </c>
      <c r="H1382">
        <v>0.78700000000000003</v>
      </c>
      <c r="I1382">
        <v>40</v>
      </c>
      <c r="J1382">
        <v>1</v>
      </c>
      <c r="K1382" t="str">
        <f t="shared" si="42"/>
        <v>Middle-Aged</v>
      </c>
      <c r="L1382" t="str">
        <f t="shared" si="43"/>
        <v>Obese</v>
      </c>
    </row>
    <row r="1383" spans="1:12" x14ac:dyDescent="0.2">
      <c r="A1383">
        <v>1382</v>
      </c>
      <c r="B1383">
        <v>6</v>
      </c>
      <c r="C1383">
        <v>105</v>
      </c>
      <c r="D1383">
        <v>80</v>
      </c>
      <c r="E1383">
        <v>28</v>
      </c>
      <c r="F1383">
        <v>0</v>
      </c>
      <c r="G1383">
        <v>32.5</v>
      </c>
      <c r="H1383">
        <v>0.878</v>
      </c>
      <c r="I1383">
        <v>26</v>
      </c>
      <c r="J1383">
        <v>0</v>
      </c>
      <c r="K1383" t="str">
        <f t="shared" si="42"/>
        <v>Young</v>
      </c>
      <c r="L1383" t="str">
        <f t="shared" si="43"/>
        <v>Obese</v>
      </c>
    </row>
    <row r="1384" spans="1:12" x14ac:dyDescent="0.2">
      <c r="A1384">
        <v>1383</v>
      </c>
      <c r="B1384">
        <v>11</v>
      </c>
      <c r="C1384">
        <v>138</v>
      </c>
      <c r="D1384">
        <v>74</v>
      </c>
      <c r="E1384">
        <v>26</v>
      </c>
      <c r="F1384">
        <v>144</v>
      </c>
      <c r="G1384">
        <v>36.1</v>
      </c>
      <c r="H1384">
        <v>0.55700000000000005</v>
      </c>
      <c r="I1384">
        <v>50</v>
      </c>
      <c r="J1384">
        <v>1</v>
      </c>
      <c r="K1384" t="str">
        <f t="shared" si="42"/>
        <v>Senior</v>
      </c>
      <c r="L1384" t="str">
        <f t="shared" si="43"/>
        <v>Obese</v>
      </c>
    </row>
    <row r="1385" spans="1:12" x14ac:dyDescent="0.2">
      <c r="A1385">
        <v>1384</v>
      </c>
      <c r="B1385">
        <v>3</v>
      </c>
      <c r="C1385">
        <v>106</v>
      </c>
      <c r="D1385">
        <v>72</v>
      </c>
      <c r="E1385">
        <v>0</v>
      </c>
      <c r="F1385">
        <v>0</v>
      </c>
      <c r="G1385">
        <v>25.8</v>
      </c>
      <c r="H1385">
        <v>0.20699999999999999</v>
      </c>
      <c r="I1385">
        <v>27</v>
      </c>
      <c r="J1385">
        <v>0</v>
      </c>
      <c r="K1385" t="str">
        <f t="shared" si="42"/>
        <v>Young</v>
      </c>
      <c r="L1385" t="str">
        <f t="shared" si="43"/>
        <v>Overweight</v>
      </c>
    </row>
    <row r="1386" spans="1:12" x14ac:dyDescent="0.2">
      <c r="A1386">
        <v>1385</v>
      </c>
      <c r="B1386">
        <v>6</v>
      </c>
      <c r="C1386">
        <v>117</v>
      </c>
      <c r="D1386">
        <v>96</v>
      </c>
      <c r="E1386">
        <v>0</v>
      </c>
      <c r="F1386">
        <v>0</v>
      </c>
      <c r="G1386">
        <v>28.7</v>
      </c>
      <c r="H1386">
        <v>0.157</v>
      </c>
      <c r="I1386">
        <v>30</v>
      </c>
      <c r="J1386">
        <v>0</v>
      </c>
      <c r="K1386" t="str">
        <f t="shared" si="42"/>
        <v>Middle-Aged</v>
      </c>
      <c r="L1386" t="str">
        <f t="shared" si="43"/>
        <v>Overweight</v>
      </c>
    </row>
    <row r="1387" spans="1:12" x14ac:dyDescent="0.2">
      <c r="A1387">
        <v>1386</v>
      </c>
      <c r="B1387">
        <v>2</v>
      </c>
      <c r="C1387">
        <v>68</v>
      </c>
      <c r="D1387">
        <v>62</v>
      </c>
      <c r="E1387">
        <v>13</v>
      </c>
      <c r="F1387">
        <v>15</v>
      </c>
      <c r="G1387">
        <v>20.100000000000001</v>
      </c>
      <c r="H1387">
        <v>0.25700000000000001</v>
      </c>
      <c r="I1387">
        <v>23</v>
      </c>
      <c r="J1387">
        <v>0</v>
      </c>
      <c r="K1387" t="str">
        <f t="shared" si="42"/>
        <v>Young</v>
      </c>
      <c r="L1387" t="str">
        <f t="shared" si="43"/>
        <v>Normal</v>
      </c>
    </row>
    <row r="1388" spans="1:12" x14ac:dyDescent="0.2">
      <c r="A1388">
        <v>1387</v>
      </c>
      <c r="B1388">
        <v>9</v>
      </c>
      <c r="C1388">
        <v>112</v>
      </c>
      <c r="D1388">
        <v>82</v>
      </c>
      <c r="E1388">
        <v>24</v>
      </c>
      <c r="F1388">
        <v>0</v>
      </c>
      <c r="G1388">
        <v>28.2</v>
      </c>
      <c r="H1388">
        <v>1.282</v>
      </c>
      <c r="I1388">
        <v>50</v>
      </c>
      <c r="J1388">
        <v>1</v>
      </c>
      <c r="K1388" t="str">
        <f t="shared" si="42"/>
        <v>Senior</v>
      </c>
      <c r="L1388" t="str">
        <f t="shared" si="43"/>
        <v>Overweight</v>
      </c>
    </row>
    <row r="1389" spans="1:12" x14ac:dyDescent="0.2">
      <c r="A1389">
        <v>1388</v>
      </c>
      <c r="B1389">
        <v>0</v>
      </c>
      <c r="C1389">
        <v>119</v>
      </c>
      <c r="D1389">
        <v>121</v>
      </c>
      <c r="E1389">
        <v>0</v>
      </c>
      <c r="F1389">
        <v>0</v>
      </c>
      <c r="G1389">
        <v>32.4</v>
      </c>
      <c r="H1389">
        <v>0.14099999999999999</v>
      </c>
      <c r="I1389">
        <v>24</v>
      </c>
      <c r="J1389">
        <v>1</v>
      </c>
      <c r="K1389" t="str">
        <f t="shared" si="42"/>
        <v>Young</v>
      </c>
      <c r="L1389" t="str">
        <f t="shared" si="43"/>
        <v>Obese</v>
      </c>
    </row>
    <row r="1390" spans="1:12" x14ac:dyDescent="0.2">
      <c r="A1390">
        <v>1389</v>
      </c>
      <c r="B1390">
        <v>2</v>
      </c>
      <c r="C1390">
        <v>112</v>
      </c>
      <c r="D1390">
        <v>86</v>
      </c>
      <c r="E1390">
        <v>42</v>
      </c>
      <c r="F1390">
        <v>160</v>
      </c>
      <c r="G1390">
        <v>38.4</v>
      </c>
      <c r="H1390">
        <v>0.246</v>
      </c>
      <c r="I1390">
        <v>28</v>
      </c>
      <c r="J1390">
        <v>0</v>
      </c>
      <c r="K1390" t="str">
        <f t="shared" si="42"/>
        <v>Young</v>
      </c>
      <c r="L1390" t="str">
        <f t="shared" si="43"/>
        <v>Obese</v>
      </c>
    </row>
    <row r="1391" spans="1:12" x14ac:dyDescent="0.2">
      <c r="A1391">
        <v>1390</v>
      </c>
      <c r="B1391">
        <v>2</v>
      </c>
      <c r="C1391">
        <v>92</v>
      </c>
      <c r="D1391">
        <v>76</v>
      </c>
      <c r="E1391">
        <v>20</v>
      </c>
      <c r="F1391">
        <v>0</v>
      </c>
      <c r="G1391">
        <v>24.2</v>
      </c>
      <c r="H1391">
        <v>1.698</v>
      </c>
      <c r="I1391">
        <v>28</v>
      </c>
      <c r="J1391">
        <v>0</v>
      </c>
      <c r="K1391" t="str">
        <f t="shared" si="42"/>
        <v>Young</v>
      </c>
      <c r="L1391" t="str">
        <f t="shared" si="43"/>
        <v>Normal</v>
      </c>
    </row>
    <row r="1392" spans="1:12" x14ac:dyDescent="0.2">
      <c r="A1392">
        <v>1391</v>
      </c>
      <c r="B1392">
        <v>6</v>
      </c>
      <c r="C1392">
        <v>183</v>
      </c>
      <c r="D1392">
        <v>94</v>
      </c>
      <c r="E1392">
        <v>0</v>
      </c>
      <c r="F1392">
        <v>0</v>
      </c>
      <c r="G1392">
        <v>40.799999999999997</v>
      </c>
      <c r="H1392">
        <v>1.4610000000000001</v>
      </c>
      <c r="I1392">
        <v>45</v>
      </c>
      <c r="J1392">
        <v>0</v>
      </c>
      <c r="K1392" t="str">
        <f t="shared" si="42"/>
        <v>Senior</v>
      </c>
      <c r="L1392" t="str">
        <f t="shared" si="43"/>
        <v>Obese</v>
      </c>
    </row>
    <row r="1393" spans="1:12" x14ac:dyDescent="0.2">
      <c r="A1393">
        <v>1392</v>
      </c>
      <c r="B1393">
        <v>0</v>
      </c>
      <c r="C1393">
        <v>94</v>
      </c>
      <c r="D1393">
        <v>70</v>
      </c>
      <c r="E1393">
        <v>27</v>
      </c>
      <c r="F1393">
        <v>115</v>
      </c>
      <c r="G1393">
        <v>43.5</v>
      </c>
      <c r="H1393">
        <v>0.34699999999999998</v>
      </c>
      <c r="I1393">
        <v>21</v>
      </c>
      <c r="J1393">
        <v>0</v>
      </c>
      <c r="K1393" t="str">
        <f t="shared" si="42"/>
        <v>Young</v>
      </c>
      <c r="L1393" t="str">
        <f t="shared" si="43"/>
        <v>Obese</v>
      </c>
    </row>
    <row r="1394" spans="1:12" x14ac:dyDescent="0.2">
      <c r="A1394">
        <v>1393</v>
      </c>
      <c r="B1394">
        <v>2</v>
      </c>
      <c r="C1394">
        <v>108</v>
      </c>
      <c r="D1394">
        <v>64</v>
      </c>
      <c r="E1394">
        <v>0</v>
      </c>
      <c r="F1394">
        <v>0</v>
      </c>
      <c r="G1394">
        <v>30.8</v>
      </c>
      <c r="H1394">
        <v>0.158</v>
      </c>
      <c r="I1394">
        <v>21</v>
      </c>
      <c r="J1394">
        <v>0</v>
      </c>
      <c r="K1394" t="str">
        <f t="shared" si="42"/>
        <v>Young</v>
      </c>
      <c r="L1394" t="str">
        <f t="shared" si="43"/>
        <v>Obese</v>
      </c>
    </row>
    <row r="1395" spans="1:12" x14ac:dyDescent="0.2">
      <c r="A1395">
        <v>1394</v>
      </c>
      <c r="B1395">
        <v>4</v>
      </c>
      <c r="C1395">
        <v>90</v>
      </c>
      <c r="D1395">
        <v>88</v>
      </c>
      <c r="E1395">
        <v>47</v>
      </c>
      <c r="F1395">
        <v>54</v>
      </c>
      <c r="G1395">
        <v>37.700000000000003</v>
      </c>
      <c r="H1395">
        <v>0.36199999999999999</v>
      </c>
      <c r="I1395">
        <v>29</v>
      </c>
      <c r="J1395">
        <v>0</v>
      </c>
      <c r="K1395" t="str">
        <f t="shared" si="42"/>
        <v>Young</v>
      </c>
      <c r="L1395" t="str">
        <f t="shared" si="43"/>
        <v>Obese</v>
      </c>
    </row>
    <row r="1396" spans="1:12" x14ac:dyDescent="0.2">
      <c r="A1396">
        <v>1395</v>
      </c>
      <c r="B1396">
        <v>0</v>
      </c>
      <c r="C1396">
        <v>125</v>
      </c>
      <c r="D1396">
        <v>68</v>
      </c>
      <c r="E1396">
        <v>0</v>
      </c>
      <c r="F1396">
        <v>0</v>
      </c>
      <c r="G1396">
        <v>24.7</v>
      </c>
      <c r="H1396">
        <v>0.20599999999999999</v>
      </c>
      <c r="I1396">
        <v>21</v>
      </c>
      <c r="J1396">
        <v>0</v>
      </c>
      <c r="K1396" t="str">
        <f t="shared" si="42"/>
        <v>Young</v>
      </c>
      <c r="L1396" t="str">
        <f t="shared" si="43"/>
        <v>Normal</v>
      </c>
    </row>
    <row r="1397" spans="1:12" x14ac:dyDescent="0.2">
      <c r="A1397">
        <v>1396</v>
      </c>
      <c r="B1397">
        <v>0</v>
      </c>
      <c r="C1397">
        <v>132</v>
      </c>
      <c r="D1397">
        <v>78</v>
      </c>
      <c r="E1397">
        <v>0</v>
      </c>
      <c r="F1397">
        <v>0</v>
      </c>
      <c r="G1397">
        <v>32.4</v>
      </c>
      <c r="H1397">
        <v>0.39300000000000002</v>
      </c>
      <c r="I1397">
        <v>21</v>
      </c>
      <c r="J1397">
        <v>0</v>
      </c>
      <c r="K1397" t="str">
        <f t="shared" si="42"/>
        <v>Young</v>
      </c>
      <c r="L1397" t="str">
        <f t="shared" si="43"/>
        <v>Obese</v>
      </c>
    </row>
    <row r="1398" spans="1:12" x14ac:dyDescent="0.2">
      <c r="A1398">
        <v>1397</v>
      </c>
      <c r="B1398">
        <v>5</v>
      </c>
      <c r="C1398">
        <v>128</v>
      </c>
      <c r="D1398">
        <v>80</v>
      </c>
      <c r="E1398">
        <v>0</v>
      </c>
      <c r="F1398">
        <v>0</v>
      </c>
      <c r="G1398">
        <v>34.6</v>
      </c>
      <c r="H1398">
        <v>0.14399999999999999</v>
      </c>
      <c r="I1398">
        <v>45</v>
      </c>
      <c r="J1398">
        <v>0</v>
      </c>
      <c r="K1398" t="str">
        <f t="shared" si="42"/>
        <v>Senior</v>
      </c>
      <c r="L1398" t="str">
        <f t="shared" si="43"/>
        <v>Obese</v>
      </c>
    </row>
    <row r="1399" spans="1:12" x14ac:dyDescent="0.2">
      <c r="A1399">
        <v>1398</v>
      </c>
      <c r="B1399">
        <v>4</v>
      </c>
      <c r="C1399">
        <v>94</v>
      </c>
      <c r="D1399">
        <v>65</v>
      </c>
      <c r="E1399">
        <v>22</v>
      </c>
      <c r="F1399">
        <v>0</v>
      </c>
      <c r="G1399">
        <v>24.7</v>
      </c>
      <c r="H1399">
        <v>0.14799999999999999</v>
      </c>
      <c r="I1399">
        <v>21</v>
      </c>
      <c r="J1399">
        <v>0</v>
      </c>
      <c r="K1399" t="str">
        <f t="shared" si="42"/>
        <v>Young</v>
      </c>
      <c r="L1399" t="str">
        <f t="shared" si="43"/>
        <v>Normal</v>
      </c>
    </row>
    <row r="1400" spans="1:12" x14ac:dyDescent="0.2">
      <c r="A1400">
        <v>1399</v>
      </c>
      <c r="B1400">
        <v>7</v>
      </c>
      <c r="C1400">
        <v>114</v>
      </c>
      <c r="D1400">
        <v>64</v>
      </c>
      <c r="E1400">
        <v>0</v>
      </c>
      <c r="F1400">
        <v>0</v>
      </c>
      <c r="G1400">
        <v>27.4</v>
      </c>
      <c r="H1400">
        <v>0.73199999999999998</v>
      </c>
      <c r="I1400">
        <v>34</v>
      </c>
      <c r="J1400">
        <v>1</v>
      </c>
      <c r="K1400" t="str">
        <f t="shared" si="42"/>
        <v>Middle-Aged</v>
      </c>
      <c r="L1400" t="str">
        <f t="shared" si="43"/>
        <v>Overweight</v>
      </c>
    </row>
    <row r="1401" spans="1:12" x14ac:dyDescent="0.2">
      <c r="A1401">
        <v>1400</v>
      </c>
      <c r="B1401">
        <v>0</v>
      </c>
      <c r="C1401">
        <v>102</v>
      </c>
      <c r="D1401">
        <v>78</v>
      </c>
      <c r="E1401">
        <v>40</v>
      </c>
      <c r="F1401">
        <v>90</v>
      </c>
      <c r="G1401">
        <v>34.5</v>
      </c>
      <c r="H1401">
        <v>0.23799999999999999</v>
      </c>
      <c r="I1401">
        <v>24</v>
      </c>
      <c r="J1401">
        <v>0</v>
      </c>
      <c r="K1401" t="str">
        <f t="shared" si="42"/>
        <v>Young</v>
      </c>
      <c r="L1401" t="str">
        <f t="shared" si="43"/>
        <v>Obese</v>
      </c>
    </row>
    <row r="1402" spans="1:12" x14ac:dyDescent="0.2">
      <c r="A1402">
        <v>1401</v>
      </c>
      <c r="B1402">
        <v>2</v>
      </c>
      <c r="C1402">
        <v>111</v>
      </c>
      <c r="D1402">
        <v>60</v>
      </c>
      <c r="E1402">
        <v>0</v>
      </c>
      <c r="F1402">
        <v>0</v>
      </c>
      <c r="G1402">
        <v>26.2</v>
      </c>
      <c r="H1402">
        <v>0.34300000000000003</v>
      </c>
      <c r="I1402">
        <v>23</v>
      </c>
      <c r="J1402">
        <v>0</v>
      </c>
      <c r="K1402" t="str">
        <f t="shared" si="42"/>
        <v>Young</v>
      </c>
      <c r="L1402" t="str">
        <f t="shared" si="43"/>
        <v>Overweight</v>
      </c>
    </row>
    <row r="1403" spans="1:12" x14ac:dyDescent="0.2">
      <c r="A1403">
        <v>1402</v>
      </c>
      <c r="B1403">
        <v>1</v>
      </c>
      <c r="C1403">
        <v>128</v>
      </c>
      <c r="D1403">
        <v>82</v>
      </c>
      <c r="E1403">
        <v>17</v>
      </c>
      <c r="F1403">
        <v>183</v>
      </c>
      <c r="G1403">
        <v>27.5</v>
      </c>
      <c r="H1403">
        <v>0.115</v>
      </c>
      <c r="I1403">
        <v>22</v>
      </c>
      <c r="J1403">
        <v>0</v>
      </c>
      <c r="K1403" t="str">
        <f t="shared" si="42"/>
        <v>Young</v>
      </c>
      <c r="L1403" t="str">
        <f t="shared" si="43"/>
        <v>Overweight</v>
      </c>
    </row>
    <row r="1404" spans="1:12" x14ac:dyDescent="0.2">
      <c r="A1404">
        <v>1403</v>
      </c>
      <c r="B1404">
        <v>10</v>
      </c>
      <c r="C1404">
        <v>92</v>
      </c>
      <c r="D1404">
        <v>62</v>
      </c>
      <c r="E1404">
        <v>0</v>
      </c>
      <c r="F1404">
        <v>0</v>
      </c>
      <c r="G1404">
        <v>25.9</v>
      </c>
      <c r="H1404">
        <v>0.16700000000000001</v>
      </c>
      <c r="I1404">
        <v>31</v>
      </c>
      <c r="J1404">
        <v>0</v>
      </c>
      <c r="K1404" t="str">
        <f t="shared" si="42"/>
        <v>Middle-Aged</v>
      </c>
      <c r="L1404" t="str">
        <f t="shared" si="43"/>
        <v>Overweight</v>
      </c>
    </row>
    <row r="1405" spans="1:12" x14ac:dyDescent="0.2">
      <c r="A1405">
        <v>1404</v>
      </c>
      <c r="B1405">
        <v>13</v>
      </c>
      <c r="C1405">
        <v>104</v>
      </c>
      <c r="D1405">
        <v>72</v>
      </c>
      <c r="E1405">
        <v>0</v>
      </c>
      <c r="F1405">
        <v>0</v>
      </c>
      <c r="G1405">
        <v>31.2</v>
      </c>
      <c r="H1405">
        <v>0.46500000000000002</v>
      </c>
      <c r="I1405">
        <v>38</v>
      </c>
      <c r="J1405">
        <v>1</v>
      </c>
      <c r="K1405" t="str">
        <f t="shared" si="42"/>
        <v>Middle-Aged</v>
      </c>
      <c r="L1405" t="str">
        <f t="shared" si="43"/>
        <v>Obese</v>
      </c>
    </row>
    <row r="1406" spans="1:12" x14ac:dyDescent="0.2">
      <c r="A1406">
        <v>1405</v>
      </c>
      <c r="B1406">
        <v>5</v>
      </c>
      <c r="C1406">
        <v>104</v>
      </c>
      <c r="D1406">
        <v>74</v>
      </c>
      <c r="E1406">
        <v>0</v>
      </c>
      <c r="F1406">
        <v>0</v>
      </c>
      <c r="G1406">
        <v>28.8</v>
      </c>
      <c r="H1406">
        <v>0.153</v>
      </c>
      <c r="I1406">
        <v>48</v>
      </c>
      <c r="J1406">
        <v>0</v>
      </c>
      <c r="K1406" t="str">
        <f t="shared" si="42"/>
        <v>Senior</v>
      </c>
      <c r="L1406" t="str">
        <f t="shared" si="43"/>
        <v>Overweight</v>
      </c>
    </row>
    <row r="1407" spans="1:12" x14ac:dyDescent="0.2">
      <c r="A1407">
        <v>1406</v>
      </c>
      <c r="B1407">
        <v>2</v>
      </c>
      <c r="C1407">
        <v>94</v>
      </c>
      <c r="D1407">
        <v>76</v>
      </c>
      <c r="E1407">
        <v>18</v>
      </c>
      <c r="F1407">
        <v>66</v>
      </c>
      <c r="G1407">
        <v>31.6</v>
      </c>
      <c r="H1407">
        <v>0.64900000000000002</v>
      </c>
      <c r="I1407">
        <v>23</v>
      </c>
      <c r="J1407">
        <v>0</v>
      </c>
      <c r="K1407" t="str">
        <f t="shared" si="42"/>
        <v>Young</v>
      </c>
      <c r="L1407" t="str">
        <f t="shared" si="43"/>
        <v>Obese</v>
      </c>
    </row>
    <row r="1408" spans="1:12" x14ac:dyDescent="0.2">
      <c r="A1408">
        <v>1407</v>
      </c>
      <c r="B1408">
        <v>7</v>
      </c>
      <c r="C1408">
        <v>97</v>
      </c>
      <c r="D1408">
        <v>76</v>
      </c>
      <c r="E1408">
        <v>32</v>
      </c>
      <c r="F1408">
        <v>91</v>
      </c>
      <c r="G1408">
        <v>40.9</v>
      </c>
      <c r="H1408">
        <v>0.871</v>
      </c>
      <c r="I1408">
        <v>32</v>
      </c>
      <c r="J1408">
        <v>1</v>
      </c>
      <c r="K1408" t="str">
        <f t="shared" si="42"/>
        <v>Middle-Aged</v>
      </c>
      <c r="L1408" t="str">
        <f t="shared" si="43"/>
        <v>Obese</v>
      </c>
    </row>
    <row r="1409" spans="1:12" x14ac:dyDescent="0.2">
      <c r="A1409">
        <v>1408</v>
      </c>
      <c r="B1409">
        <v>1</v>
      </c>
      <c r="C1409">
        <v>100</v>
      </c>
      <c r="D1409">
        <v>74</v>
      </c>
      <c r="E1409">
        <v>12</v>
      </c>
      <c r="F1409">
        <v>46</v>
      </c>
      <c r="G1409">
        <v>19.5</v>
      </c>
      <c r="H1409">
        <v>0.14899999999999999</v>
      </c>
      <c r="I1409">
        <v>28</v>
      </c>
      <c r="J1409">
        <v>0</v>
      </c>
      <c r="K1409" t="str">
        <f t="shared" si="42"/>
        <v>Young</v>
      </c>
      <c r="L1409" t="str">
        <f t="shared" si="43"/>
        <v>Normal</v>
      </c>
    </row>
    <row r="1410" spans="1:12" x14ac:dyDescent="0.2">
      <c r="A1410">
        <v>1409</v>
      </c>
      <c r="B1410">
        <v>0</v>
      </c>
      <c r="C1410">
        <v>102</v>
      </c>
      <c r="D1410">
        <v>86</v>
      </c>
      <c r="E1410">
        <v>17</v>
      </c>
      <c r="F1410">
        <v>105</v>
      </c>
      <c r="G1410">
        <v>29.3</v>
      </c>
      <c r="H1410">
        <v>0.69499999999999995</v>
      </c>
      <c r="I1410">
        <v>27</v>
      </c>
      <c r="J1410">
        <v>0</v>
      </c>
      <c r="K1410" t="str">
        <f t="shared" si="42"/>
        <v>Young</v>
      </c>
      <c r="L1410" t="str">
        <f t="shared" si="43"/>
        <v>Overweight</v>
      </c>
    </row>
    <row r="1411" spans="1:12" x14ac:dyDescent="0.2">
      <c r="A1411">
        <v>1410</v>
      </c>
      <c r="B1411">
        <v>4</v>
      </c>
      <c r="C1411">
        <v>128</v>
      </c>
      <c r="D1411">
        <v>70</v>
      </c>
      <c r="E1411">
        <v>0</v>
      </c>
      <c r="F1411">
        <v>0</v>
      </c>
      <c r="G1411">
        <v>34.299999999999997</v>
      </c>
      <c r="H1411">
        <v>0.30299999999999999</v>
      </c>
      <c r="I1411">
        <v>24</v>
      </c>
      <c r="J1411">
        <v>0</v>
      </c>
      <c r="K1411" t="str">
        <f t="shared" ref="K1411:K1474" si="44">IF(I1411&lt;30, "Young", IF( I1411&lt;45, "Middle-Aged", "Senior"))</f>
        <v>Young</v>
      </c>
      <c r="L1411" t="str">
        <f t="shared" ref="L1411:L1474" si="45">IF(G1411&lt;18.5, "Underweight", IF(G1411&lt;25, "Normal", IF(G1411&lt;30, "Overweight", "Obese")))</f>
        <v>Obese</v>
      </c>
    </row>
    <row r="1412" spans="1:12" x14ac:dyDescent="0.2">
      <c r="A1412">
        <v>1411</v>
      </c>
      <c r="B1412">
        <v>6</v>
      </c>
      <c r="C1412">
        <v>147</v>
      </c>
      <c r="D1412">
        <v>80</v>
      </c>
      <c r="E1412">
        <v>0</v>
      </c>
      <c r="F1412">
        <v>0</v>
      </c>
      <c r="G1412">
        <v>29.5</v>
      </c>
      <c r="H1412">
        <v>0.17799999999999999</v>
      </c>
      <c r="I1412">
        <v>50</v>
      </c>
      <c r="J1412">
        <v>1</v>
      </c>
      <c r="K1412" t="str">
        <f t="shared" si="44"/>
        <v>Senior</v>
      </c>
      <c r="L1412" t="str">
        <f t="shared" si="45"/>
        <v>Overweight</v>
      </c>
    </row>
    <row r="1413" spans="1:12" x14ac:dyDescent="0.2">
      <c r="A1413">
        <v>1412</v>
      </c>
      <c r="B1413">
        <v>4</v>
      </c>
      <c r="C1413">
        <v>90</v>
      </c>
      <c r="D1413">
        <v>121</v>
      </c>
      <c r="E1413">
        <v>0</v>
      </c>
      <c r="F1413">
        <v>0</v>
      </c>
      <c r="G1413">
        <v>28</v>
      </c>
      <c r="H1413">
        <v>0.61</v>
      </c>
      <c r="I1413">
        <v>31</v>
      </c>
      <c r="J1413">
        <v>0</v>
      </c>
      <c r="K1413" t="str">
        <f t="shared" si="44"/>
        <v>Middle-Aged</v>
      </c>
      <c r="L1413" t="str">
        <f t="shared" si="45"/>
        <v>Overweight</v>
      </c>
    </row>
    <row r="1414" spans="1:12" x14ac:dyDescent="0.2">
      <c r="A1414">
        <v>1413</v>
      </c>
      <c r="B1414">
        <v>3</v>
      </c>
      <c r="C1414">
        <v>103</v>
      </c>
      <c r="D1414">
        <v>72</v>
      </c>
      <c r="E1414">
        <v>30</v>
      </c>
      <c r="F1414">
        <v>152</v>
      </c>
      <c r="G1414">
        <v>27.6</v>
      </c>
      <c r="H1414">
        <v>0.73</v>
      </c>
      <c r="I1414">
        <v>27</v>
      </c>
      <c r="J1414">
        <v>0</v>
      </c>
      <c r="K1414" t="str">
        <f t="shared" si="44"/>
        <v>Young</v>
      </c>
      <c r="L1414" t="str">
        <f t="shared" si="45"/>
        <v>Overweight</v>
      </c>
    </row>
    <row r="1415" spans="1:12" x14ac:dyDescent="0.2">
      <c r="A1415">
        <v>1414</v>
      </c>
      <c r="B1415">
        <v>2</v>
      </c>
      <c r="C1415">
        <v>157</v>
      </c>
      <c r="D1415">
        <v>74</v>
      </c>
      <c r="E1415">
        <v>35</v>
      </c>
      <c r="F1415">
        <v>440</v>
      </c>
      <c r="G1415">
        <v>39.4</v>
      </c>
      <c r="H1415">
        <v>0.13400000000000001</v>
      </c>
      <c r="I1415">
        <v>30</v>
      </c>
      <c r="J1415">
        <v>0</v>
      </c>
      <c r="K1415" t="str">
        <f t="shared" si="44"/>
        <v>Middle-Aged</v>
      </c>
      <c r="L1415" t="str">
        <f t="shared" si="45"/>
        <v>Obese</v>
      </c>
    </row>
    <row r="1416" spans="1:12" x14ac:dyDescent="0.2">
      <c r="A1416">
        <v>1415</v>
      </c>
      <c r="B1416">
        <v>1</v>
      </c>
      <c r="C1416">
        <v>167</v>
      </c>
      <c r="D1416">
        <v>74</v>
      </c>
      <c r="E1416">
        <v>17</v>
      </c>
      <c r="F1416">
        <v>144</v>
      </c>
      <c r="G1416">
        <v>23.4</v>
      </c>
      <c r="H1416">
        <v>0.44700000000000001</v>
      </c>
      <c r="I1416">
        <v>33</v>
      </c>
      <c r="J1416">
        <v>1</v>
      </c>
      <c r="K1416" t="str">
        <f t="shared" si="44"/>
        <v>Middle-Aged</v>
      </c>
      <c r="L1416" t="str">
        <f t="shared" si="45"/>
        <v>Normal</v>
      </c>
    </row>
    <row r="1417" spans="1:12" x14ac:dyDescent="0.2">
      <c r="A1417">
        <v>1416</v>
      </c>
      <c r="B1417">
        <v>0</v>
      </c>
      <c r="C1417">
        <v>179</v>
      </c>
      <c r="D1417">
        <v>50</v>
      </c>
      <c r="E1417">
        <v>36</v>
      </c>
      <c r="F1417">
        <v>159</v>
      </c>
      <c r="G1417">
        <v>37.799999999999997</v>
      </c>
      <c r="H1417">
        <v>0.45500000000000002</v>
      </c>
      <c r="I1417">
        <v>22</v>
      </c>
      <c r="J1417">
        <v>1</v>
      </c>
      <c r="K1417" t="str">
        <f t="shared" si="44"/>
        <v>Young</v>
      </c>
      <c r="L1417" t="str">
        <f t="shared" si="45"/>
        <v>Obese</v>
      </c>
    </row>
    <row r="1418" spans="1:12" x14ac:dyDescent="0.2">
      <c r="A1418">
        <v>1417</v>
      </c>
      <c r="B1418">
        <v>11</v>
      </c>
      <c r="C1418">
        <v>136</v>
      </c>
      <c r="D1418">
        <v>84</v>
      </c>
      <c r="E1418">
        <v>35</v>
      </c>
      <c r="F1418">
        <v>130</v>
      </c>
      <c r="G1418">
        <v>28.3</v>
      </c>
      <c r="H1418">
        <v>0.26</v>
      </c>
      <c r="I1418">
        <v>42</v>
      </c>
      <c r="J1418">
        <v>1</v>
      </c>
      <c r="K1418" t="str">
        <f t="shared" si="44"/>
        <v>Middle-Aged</v>
      </c>
      <c r="L1418" t="str">
        <f t="shared" si="45"/>
        <v>Overweight</v>
      </c>
    </row>
    <row r="1419" spans="1:12" x14ac:dyDescent="0.2">
      <c r="A1419">
        <v>1418</v>
      </c>
      <c r="B1419">
        <v>0</v>
      </c>
      <c r="C1419">
        <v>107</v>
      </c>
      <c r="D1419">
        <v>60</v>
      </c>
      <c r="E1419">
        <v>25</v>
      </c>
      <c r="F1419">
        <v>0</v>
      </c>
      <c r="G1419">
        <v>26.4</v>
      </c>
      <c r="H1419">
        <v>0.13300000000000001</v>
      </c>
      <c r="I1419">
        <v>23</v>
      </c>
      <c r="J1419">
        <v>0</v>
      </c>
      <c r="K1419" t="str">
        <f t="shared" si="44"/>
        <v>Young</v>
      </c>
      <c r="L1419" t="str">
        <f t="shared" si="45"/>
        <v>Overweight</v>
      </c>
    </row>
    <row r="1420" spans="1:12" x14ac:dyDescent="0.2">
      <c r="A1420">
        <v>1419</v>
      </c>
      <c r="B1420">
        <v>1</v>
      </c>
      <c r="C1420">
        <v>91</v>
      </c>
      <c r="D1420">
        <v>54</v>
      </c>
      <c r="E1420">
        <v>25</v>
      </c>
      <c r="F1420">
        <v>100</v>
      </c>
      <c r="G1420">
        <v>25.2</v>
      </c>
      <c r="H1420">
        <v>0.23400000000000001</v>
      </c>
      <c r="I1420">
        <v>23</v>
      </c>
      <c r="J1420">
        <v>0</v>
      </c>
      <c r="K1420" t="str">
        <f t="shared" si="44"/>
        <v>Young</v>
      </c>
      <c r="L1420" t="str">
        <f t="shared" si="45"/>
        <v>Overweight</v>
      </c>
    </row>
    <row r="1421" spans="1:12" x14ac:dyDescent="0.2">
      <c r="A1421">
        <v>1420</v>
      </c>
      <c r="B1421">
        <v>1</v>
      </c>
      <c r="C1421">
        <v>117</v>
      </c>
      <c r="D1421">
        <v>60</v>
      </c>
      <c r="E1421">
        <v>23</v>
      </c>
      <c r="F1421">
        <v>106</v>
      </c>
      <c r="G1421">
        <v>33.799999999999997</v>
      </c>
      <c r="H1421">
        <v>0.46600000000000003</v>
      </c>
      <c r="I1421">
        <v>27</v>
      </c>
      <c r="J1421">
        <v>0</v>
      </c>
      <c r="K1421" t="str">
        <f t="shared" si="44"/>
        <v>Young</v>
      </c>
      <c r="L1421" t="str">
        <f t="shared" si="45"/>
        <v>Obese</v>
      </c>
    </row>
    <row r="1422" spans="1:12" x14ac:dyDescent="0.2">
      <c r="A1422">
        <v>1421</v>
      </c>
      <c r="B1422">
        <v>5</v>
      </c>
      <c r="C1422">
        <v>123</v>
      </c>
      <c r="D1422">
        <v>74</v>
      </c>
      <c r="E1422">
        <v>40</v>
      </c>
      <c r="F1422">
        <v>77</v>
      </c>
      <c r="G1422">
        <v>34.1</v>
      </c>
      <c r="H1422">
        <v>0.26900000000000002</v>
      </c>
      <c r="I1422">
        <v>28</v>
      </c>
      <c r="J1422">
        <v>0</v>
      </c>
      <c r="K1422" t="str">
        <f t="shared" si="44"/>
        <v>Young</v>
      </c>
      <c r="L1422" t="str">
        <f t="shared" si="45"/>
        <v>Obese</v>
      </c>
    </row>
    <row r="1423" spans="1:12" x14ac:dyDescent="0.2">
      <c r="A1423">
        <v>1422</v>
      </c>
      <c r="B1423">
        <v>2</v>
      </c>
      <c r="C1423">
        <v>120</v>
      </c>
      <c r="D1423">
        <v>54</v>
      </c>
      <c r="E1423">
        <v>0</v>
      </c>
      <c r="F1423">
        <v>0</v>
      </c>
      <c r="G1423">
        <v>26.8</v>
      </c>
      <c r="H1423">
        <v>0.45500000000000002</v>
      </c>
      <c r="I1423">
        <v>27</v>
      </c>
      <c r="J1423">
        <v>0</v>
      </c>
      <c r="K1423" t="str">
        <f t="shared" si="44"/>
        <v>Young</v>
      </c>
      <c r="L1423" t="str">
        <f t="shared" si="45"/>
        <v>Overweight</v>
      </c>
    </row>
    <row r="1424" spans="1:12" x14ac:dyDescent="0.2">
      <c r="A1424">
        <v>1423</v>
      </c>
      <c r="B1424">
        <v>1</v>
      </c>
      <c r="C1424">
        <v>106</v>
      </c>
      <c r="D1424">
        <v>70</v>
      </c>
      <c r="E1424">
        <v>28</v>
      </c>
      <c r="F1424">
        <v>135</v>
      </c>
      <c r="G1424">
        <v>34.200000000000003</v>
      </c>
      <c r="H1424">
        <v>0.14199999999999999</v>
      </c>
      <c r="I1424">
        <v>22</v>
      </c>
      <c r="J1424">
        <v>0</v>
      </c>
      <c r="K1424" t="str">
        <f t="shared" si="44"/>
        <v>Young</v>
      </c>
      <c r="L1424" t="str">
        <f t="shared" si="45"/>
        <v>Obese</v>
      </c>
    </row>
    <row r="1425" spans="1:12" x14ac:dyDescent="0.2">
      <c r="A1425">
        <v>1424</v>
      </c>
      <c r="B1425">
        <v>2</v>
      </c>
      <c r="C1425">
        <v>155</v>
      </c>
      <c r="D1425">
        <v>52</v>
      </c>
      <c r="E1425">
        <v>27</v>
      </c>
      <c r="F1425">
        <v>540</v>
      </c>
      <c r="G1425">
        <v>38.700000000000003</v>
      </c>
      <c r="H1425">
        <v>0.24</v>
      </c>
      <c r="I1425">
        <v>25</v>
      </c>
      <c r="J1425">
        <v>1</v>
      </c>
      <c r="K1425" t="str">
        <f t="shared" si="44"/>
        <v>Young</v>
      </c>
      <c r="L1425" t="str">
        <f t="shared" si="45"/>
        <v>Obese</v>
      </c>
    </row>
    <row r="1426" spans="1:12" x14ac:dyDescent="0.2">
      <c r="A1426">
        <v>1425</v>
      </c>
      <c r="B1426">
        <v>2</v>
      </c>
      <c r="C1426">
        <v>101</v>
      </c>
      <c r="D1426">
        <v>58</v>
      </c>
      <c r="E1426">
        <v>35</v>
      </c>
      <c r="F1426">
        <v>90</v>
      </c>
      <c r="G1426">
        <v>21.8</v>
      </c>
      <c r="H1426">
        <v>0.155</v>
      </c>
      <c r="I1426">
        <v>22</v>
      </c>
      <c r="J1426">
        <v>0</v>
      </c>
      <c r="K1426" t="str">
        <f t="shared" si="44"/>
        <v>Young</v>
      </c>
      <c r="L1426" t="str">
        <f t="shared" si="45"/>
        <v>Normal</v>
      </c>
    </row>
    <row r="1427" spans="1:12" x14ac:dyDescent="0.2">
      <c r="A1427">
        <v>1426</v>
      </c>
      <c r="B1427">
        <v>1</v>
      </c>
      <c r="C1427">
        <v>120</v>
      </c>
      <c r="D1427">
        <v>80</v>
      </c>
      <c r="E1427">
        <v>48</v>
      </c>
      <c r="F1427">
        <v>200</v>
      </c>
      <c r="G1427">
        <v>38.9</v>
      </c>
      <c r="H1427">
        <v>1.1619999999999999</v>
      </c>
      <c r="I1427">
        <v>41</v>
      </c>
      <c r="J1427">
        <v>0</v>
      </c>
      <c r="K1427" t="str">
        <f t="shared" si="44"/>
        <v>Middle-Aged</v>
      </c>
      <c r="L1427" t="str">
        <f t="shared" si="45"/>
        <v>Obese</v>
      </c>
    </row>
    <row r="1428" spans="1:12" x14ac:dyDescent="0.2">
      <c r="A1428">
        <v>1427</v>
      </c>
      <c r="B1428">
        <v>11</v>
      </c>
      <c r="C1428">
        <v>127</v>
      </c>
      <c r="D1428">
        <v>106</v>
      </c>
      <c r="E1428">
        <v>0</v>
      </c>
      <c r="F1428">
        <v>0</v>
      </c>
      <c r="G1428">
        <v>39</v>
      </c>
      <c r="H1428">
        <v>0.19</v>
      </c>
      <c r="I1428">
        <v>51</v>
      </c>
      <c r="J1428">
        <v>0</v>
      </c>
      <c r="K1428" t="str">
        <f t="shared" si="44"/>
        <v>Senior</v>
      </c>
      <c r="L1428" t="str">
        <f t="shared" si="45"/>
        <v>Obese</v>
      </c>
    </row>
    <row r="1429" spans="1:12" x14ac:dyDescent="0.2">
      <c r="A1429">
        <v>1428</v>
      </c>
      <c r="B1429">
        <v>3</v>
      </c>
      <c r="C1429">
        <v>80</v>
      </c>
      <c r="D1429">
        <v>82</v>
      </c>
      <c r="E1429">
        <v>31</v>
      </c>
      <c r="F1429">
        <v>70</v>
      </c>
      <c r="G1429">
        <v>34.200000000000003</v>
      </c>
      <c r="H1429">
        <v>1.292</v>
      </c>
      <c r="I1429">
        <v>27</v>
      </c>
      <c r="J1429">
        <v>1</v>
      </c>
      <c r="K1429" t="str">
        <f t="shared" si="44"/>
        <v>Young</v>
      </c>
      <c r="L1429" t="str">
        <f t="shared" si="45"/>
        <v>Obese</v>
      </c>
    </row>
    <row r="1430" spans="1:12" x14ac:dyDescent="0.2">
      <c r="A1430">
        <v>1429</v>
      </c>
      <c r="B1430">
        <v>10</v>
      </c>
      <c r="C1430">
        <v>162</v>
      </c>
      <c r="D1430">
        <v>84</v>
      </c>
      <c r="E1430">
        <v>0</v>
      </c>
      <c r="F1430">
        <v>0</v>
      </c>
      <c r="G1430">
        <v>27.7</v>
      </c>
      <c r="H1430">
        <v>0.182</v>
      </c>
      <c r="I1430">
        <v>54</v>
      </c>
      <c r="J1430">
        <v>0</v>
      </c>
      <c r="K1430" t="str">
        <f t="shared" si="44"/>
        <v>Senior</v>
      </c>
      <c r="L1430" t="str">
        <f t="shared" si="45"/>
        <v>Overweight</v>
      </c>
    </row>
    <row r="1431" spans="1:12" x14ac:dyDescent="0.2">
      <c r="A1431">
        <v>1430</v>
      </c>
      <c r="B1431">
        <v>1</v>
      </c>
      <c r="C1431">
        <v>199</v>
      </c>
      <c r="D1431">
        <v>76</v>
      </c>
      <c r="E1431">
        <v>43</v>
      </c>
      <c r="F1431">
        <v>0</v>
      </c>
      <c r="G1431">
        <v>42.9</v>
      </c>
      <c r="H1431">
        <v>1.3939999999999999</v>
      </c>
      <c r="I1431">
        <v>22</v>
      </c>
      <c r="J1431">
        <v>1</v>
      </c>
      <c r="K1431" t="str">
        <f t="shared" si="44"/>
        <v>Young</v>
      </c>
      <c r="L1431" t="str">
        <f t="shared" si="45"/>
        <v>Obese</v>
      </c>
    </row>
    <row r="1432" spans="1:12" x14ac:dyDescent="0.2">
      <c r="A1432">
        <v>1431</v>
      </c>
      <c r="B1432">
        <v>8</v>
      </c>
      <c r="C1432">
        <v>167</v>
      </c>
      <c r="D1432">
        <v>106</v>
      </c>
      <c r="E1432">
        <v>46</v>
      </c>
      <c r="F1432">
        <v>231</v>
      </c>
      <c r="G1432">
        <v>37.6</v>
      </c>
      <c r="H1432">
        <v>0.16500000000000001</v>
      </c>
      <c r="I1432">
        <v>43</v>
      </c>
      <c r="J1432">
        <v>1</v>
      </c>
      <c r="K1432" t="str">
        <f t="shared" si="44"/>
        <v>Middle-Aged</v>
      </c>
      <c r="L1432" t="str">
        <f t="shared" si="45"/>
        <v>Obese</v>
      </c>
    </row>
    <row r="1433" spans="1:12" x14ac:dyDescent="0.2">
      <c r="A1433">
        <v>1432</v>
      </c>
      <c r="B1433">
        <v>9</v>
      </c>
      <c r="C1433">
        <v>145</v>
      </c>
      <c r="D1433">
        <v>80</v>
      </c>
      <c r="E1433">
        <v>46</v>
      </c>
      <c r="F1433">
        <v>130</v>
      </c>
      <c r="G1433">
        <v>37.9</v>
      </c>
      <c r="H1433">
        <v>0.63700000000000001</v>
      </c>
      <c r="I1433">
        <v>40</v>
      </c>
      <c r="J1433">
        <v>1</v>
      </c>
      <c r="K1433" t="str">
        <f t="shared" si="44"/>
        <v>Middle-Aged</v>
      </c>
      <c r="L1433" t="str">
        <f t="shared" si="45"/>
        <v>Obese</v>
      </c>
    </row>
    <row r="1434" spans="1:12" x14ac:dyDescent="0.2">
      <c r="A1434">
        <v>1433</v>
      </c>
      <c r="B1434">
        <v>6</v>
      </c>
      <c r="C1434">
        <v>115</v>
      </c>
      <c r="D1434">
        <v>60</v>
      </c>
      <c r="E1434">
        <v>39</v>
      </c>
      <c r="F1434">
        <v>0</v>
      </c>
      <c r="G1434">
        <v>33.700000000000003</v>
      </c>
      <c r="H1434">
        <v>0.245</v>
      </c>
      <c r="I1434">
        <v>40</v>
      </c>
      <c r="J1434">
        <v>1</v>
      </c>
      <c r="K1434" t="str">
        <f t="shared" si="44"/>
        <v>Middle-Aged</v>
      </c>
      <c r="L1434" t="str">
        <f t="shared" si="45"/>
        <v>Obese</v>
      </c>
    </row>
    <row r="1435" spans="1:12" x14ac:dyDescent="0.2">
      <c r="A1435">
        <v>1434</v>
      </c>
      <c r="B1435">
        <v>1</v>
      </c>
      <c r="C1435">
        <v>112</v>
      </c>
      <c r="D1435">
        <v>80</v>
      </c>
      <c r="E1435">
        <v>45</v>
      </c>
      <c r="F1435">
        <v>132</v>
      </c>
      <c r="G1435">
        <v>34.799999999999997</v>
      </c>
      <c r="H1435">
        <v>0.217</v>
      </c>
      <c r="I1435">
        <v>24</v>
      </c>
      <c r="J1435">
        <v>0</v>
      </c>
      <c r="K1435" t="str">
        <f t="shared" si="44"/>
        <v>Young</v>
      </c>
      <c r="L1435" t="str">
        <f t="shared" si="45"/>
        <v>Obese</v>
      </c>
    </row>
    <row r="1436" spans="1:12" x14ac:dyDescent="0.2">
      <c r="A1436">
        <v>1435</v>
      </c>
      <c r="B1436">
        <v>4</v>
      </c>
      <c r="C1436">
        <v>145</v>
      </c>
      <c r="D1436">
        <v>82</v>
      </c>
      <c r="E1436">
        <v>18</v>
      </c>
      <c r="F1436">
        <v>0</v>
      </c>
      <c r="G1436">
        <v>32.5</v>
      </c>
      <c r="H1436">
        <v>0.23499999999999999</v>
      </c>
      <c r="I1436">
        <v>70</v>
      </c>
      <c r="J1436">
        <v>1</v>
      </c>
      <c r="K1436" t="str">
        <f t="shared" si="44"/>
        <v>Senior</v>
      </c>
      <c r="L1436" t="str">
        <f t="shared" si="45"/>
        <v>Obese</v>
      </c>
    </row>
    <row r="1437" spans="1:12" x14ac:dyDescent="0.2">
      <c r="A1437">
        <v>1436</v>
      </c>
      <c r="B1437">
        <v>10</v>
      </c>
      <c r="C1437">
        <v>111</v>
      </c>
      <c r="D1437">
        <v>70</v>
      </c>
      <c r="E1437">
        <v>27</v>
      </c>
      <c r="F1437">
        <v>0</v>
      </c>
      <c r="G1437">
        <v>27.5</v>
      </c>
      <c r="H1437">
        <v>0.14099999999999999</v>
      </c>
      <c r="I1437">
        <v>40</v>
      </c>
      <c r="J1437">
        <v>1</v>
      </c>
      <c r="K1437" t="str">
        <f t="shared" si="44"/>
        <v>Middle-Aged</v>
      </c>
      <c r="L1437" t="str">
        <f t="shared" si="45"/>
        <v>Overweight</v>
      </c>
    </row>
    <row r="1438" spans="1:12" x14ac:dyDescent="0.2">
      <c r="A1438">
        <v>1437</v>
      </c>
      <c r="B1438">
        <v>6</v>
      </c>
      <c r="C1438">
        <v>98</v>
      </c>
      <c r="D1438">
        <v>58</v>
      </c>
      <c r="E1438">
        <v>33</v>
      </c>
      <c r="F1438">
        <v>190</v>
      </c>
      <c r="G1438">
        <v>34</v>
      </c>
      <c r="H1438">
        <v>0.43</v>
      </c>
      <c r="I1438">
        <v>43</v>
      </c>
      <c r="J1438">
        <v>0</v>
      </c>
      <c r="K1438" t="str">
        <f t="shared" si="44"/>
        <v>Middle-Aged</v>
      </c>
      <c r="L1438" t="str">
        <f t="shared" si="45"/>
        <v>Obese</v>
      </c>
    </row>
    <row r="1439" spans="1:12" x14ac:dyDescent="0.2">
      <c r="A1439">
        <v>1438</v>
      </c>
      <c r="B1439">
        <v>9</v>
      </c>
      <c r="C1439">
        <v>154</v>
      </c>
      <c r="D1439">
        <v>78</v>
      </c>
      <c r="E1439">
        <v>30</v>
      </c>
      <c r="F1439">
        <v>100</v>
      </c>
      <c r="G1439">
        <v>30.9</v>
      </c>
      <c r="H1439">
        <v>0.16400000000000001</v>
      </c>
      <c r="I1439">
        <v>45</v>
      </c>
      <c r="J1439">
        <v>0</v>
      </c>
      <c r="K1439" t="str">
        <f t="shared" si="44"/>
        <v>Senior</v>
      </c>
      <c r="L1439" t="str">
        <f t="shared" si="45"/>
        <v>Obese</v>
      </c>
    </row>
    <row r="1440" spans="1:12" x14ac:dyDescent="0.2">
      <c r="A1440">
        <v>1439</v>
      </c>
      <c r="B1440">
        <v>6</v>
      </c>
      <c r="C1440">
        <v>165</v>
      </c>
      <c r="D1440">
        <v>68</v>
      </c>
      <c r="E1440">
        <v>26</v>
      </c>
      <c r="F1440">
        <v>168</v>
      </c>
      <c r="G1440">
        <v>33.6</v>
      </c>
      <c r="H1440">
        <v>0.63100000000000001</v>
      </c>
      <c r="I1440">
        <v>49</v>
      </c>
      <c r="J1440">
        <v>0</v>
      </c>
      <c r="K1440" t="str">
        <f t="shared" si="44"/>
        <v>Senior</v>
      </c>
      <c r="L1440" t="str">
        <f t="shared" si="45"/>
        <v>Obese</v>
      </c>
    </row>
    <row r="1441" spans="1:12" x14ac:dyDescent="0.2">
      <c r="A1441">
        <v>1440</v>
      </c>
      <c r="B1441">
        <v>1</v>
      </c>
      <c r="C1441">
        <v>99</v>
      </c>
      <c r="D1441">
        <v>58</v>
      </c>
      <c r="E1441">
        <v>10</v>
      </c>
      <c r="F1441">
        <v>0</v>
      </c>
      <c r="G1441">
        <v>25.4</v>
      </c>
      <c r="H1441">
        <v>0.55100000000000005</v>
      </c>
      <c r="I1441">
        <v>21</v>
      </c>
      <c r="J1441">
        <v>0</v>
      </c>
      <c r="K1441" t="str">
        <f t="shared" si="44"/>
        <v>Young</v>
      </c>
      <c r="L1441" t="str">
        <f t="shared" si="45"/>
        <v>Overweight</v>
      </c>
    </row>
    <row r="1442" spans="1:12" x14ac:dyDescent="0.2">
      <c r="A1442">
        <v>1441</v>
      </c>
      <c r="B1442">
        <v>10</v>
      </c>
      <c r="C1442">
        <v>68</v>
      </c>
      <c r="D1442">
        <v>106</v>
      </c>
      <c r="E1442">
        <v>23</v>
      </c>
      <c r="F1442">
        <v>49</v>
      </c>
      <c r="G1442">
        <v>35.5</v>
      </c>
      <c r="H1442">
        <v>0.28499999999999998</v>
      </c>
      <c r="I1442">
        <v>47</v>
      </c>
      <c r="J1442">
        <v>0</v>
      </c>
      <c r="K1442" t="str">
        <f t="shared" si="44"/>
        <v>Senior</v>
      </c>
      <c r="L1442" t="str">
        <f t="shared" si="45"/>
        <v>Obese</v>
      </c>
    </row>
    <row r="1443" spans="1:12" x14ac:dyDescent="0.2">
      <c r="A1443">
        <v>1442</v>
      </c>
      <c r="B1443">
        <v>3</v>
      </c>
      <c r="C1443">
        <v>123</v>
      </c>
      <c r="D1443">
        <v>100</v>
      </c>
      <c r="E1443">
        <v>35</v>
      </c>
      <c r="F1443">
        <v>240</v>
      </c>
      <c r="G1443">
        <v>57.3</v>
      </c>
      <c r="H1443">
        <v>0.88</v>
      </c>
      <c r="I1443">
        <v>22</v>
      </c>
      <c r="J1443">
        <v>0</v>
      </c>
      <c r="K1443" t="str">
        <f t="shared" si="44"/>
        <v>Young</v>
      </c>
      <c r="L1443" t="str">
        <f t="shared" si="45"/>
        <v>Obese</v>
      </c>
    </row>
    <row r="1444" spans="1:12" x14ac:dyDescent="0.2">
      <c r="A1444">
        <v>1443</v>
      </c>
      <c r="B1444">
        <v>8</v>
      </c>
      <c r="C1444">
        <v>91</v>
      </c>
      <c r="D1444">
        <v>82</v>
      </c>
      <c r="E1444">
        <v>0</v>
      </c>
      <c r="F1444">
        <v>0</v>
      </c>
      <c r="G1444">
        <v>35.6</v>
      </c>
      <c r="H1444">
        <v>0.58699999999999997</v>
      </c>
      <c r="I1444">
        <v>68</v>
      </c>
      <c r="J1444">
        <v>0</v>
      </c>
      <c r="K1444" t="str">
        <f t="shared" si="44"/>
        <v>Senior</v>
      </c>
      <c r="L1444" t="str">
        <f t="shared" si="45"/>
        <v>Obese</v>
      </c>
    </row>
    <row r="1445" spans="1:12" x14ac:dyDescent="0.2">
      <c r="A1445">
        <v>1444</v>
      </c>
      <c r="B1445">
        <v>6</v>
      </c>
      <c r="C1445">
        <v>195</v>
      </c>
      <c r="D1445">
        <v>70</v>
      </c>
      <c r="E1445">
        <v>0</v>
      </c>
      <c r="F1445">
        <v>0</v>
      </c>
      <c r="G1445">
        <v>30.9</v>
      </c>
      <c r="H1445">
        <v>0.32800000000000001</v>
      </c>
      <c r="I1445">
        <v>31</v>
      </c>
      <c r="J1445">
        <v>1</v>
      </c>
      <c r="K1445" t="str">
        <f t="shared" si="44"/>
        <v>Middle-Aged</v>
      </c>
      <c r="L1445" t="str">
        <f t="shared" si="45"/>
        <v>Obese</v>
      </c>
    </row>
    <row r="1446" spans="1:12" x14ac:dyDescent="0.2">
      <c r="A1446">
        <v>1445</v>
      </c>
      <c r="B1446">
        <v>9</v>
      </c>
      <c r="C1446">
        <v>156</v>
      </c>
      <c r="D1446">
        <v>86</v>
      </c>
      <c r="E1446">
        <v>0</v>
      </c>
      <c r="F1446">
        <v>0</v>
      </c>
      <c r="G1446">
        <v>24.8</v>
      </c>
      <c r="H1446">
        <v>0.23</v>
      </c>
      <c r="I1446">
        <v>53</v>
      </c>
      <c r="J1446">
        <v>1</v>
      </c>
      <c r="K1446" t="str">
        <f t="shared" si="44"/>
        <v>Senior</v>
      </c>
      <c r="L1446" t="str">
        <f t="shared" si="45"/>
        <v>Normal</v>
      </c>
    </row>
    <row r="1447" spans="1:12" x14ac:dyDescent="0.2">
      <c r="A1447">
        <v>1446</v>
      </c>
      <c r="B1447">
        <v>0</v>
      </c>
      <c r="C1447">
        <v>93</v>
      </c>
      <c r="D1447">
        <v>60</v>
      </c>
      <c r="E1447">
        <v>0</v>
      </c>
      <c r="F1447">
        <v>0</v>
      </c>
      <c r="G1447">
        <v>35.299999999999997</v>
      </c>
      <c r="H1447">
        <v>0.26300000000000001</v>
      </c>
      <c r="I1447">
        <v>25</v>
      </c>
      <c r="J1447">
        <v>0</v>
      </c>
      <c r="K1447" t="str">
        <f t="shared" si="44"/>
        <v>Young</v>
      </c>
      <c r="L1447" t="str">
        <f t="shared" si="45"/>
        <v>Obese</v>
      </c>
    </row>
    <row r="1448" spans="1:12" x14ac:dyDescent="0.2">
      <c r="A1448">
        <v>1447</v>
      </c>
      <c r="B1448">
        <v>3</v>
      </c>
      <c r="C1448">
        <v>121</v>
      </c>
      <c r="D1448">
        <v>52</v>
      </c>
      <c r="E1448">
        <v>0</v>
      </c>
      <c r="F1448">
        <v>0</v>
      </c>
      <c r="G1448">
        <v>36</v>
      </c>
      <c r="H1448">
        <v>0.127</v>
      </c>
      <c r="I1448">
        <v>25</v>
      </c>
      <c r="J1448">
        <v>1</v>
      </c>
      <c r="K1448" t="str">
        <f t="shared" si="44"/>
        <v>Young</v>
      </c>
      <c r="L1448" t="str">
        <f t="shared" si="45"/>
        <v>Obese</v>
      </c>
    </row>
    <row r="1449" spans="1:12" x14ac:dyDescent="0.2">
      <c r="A1449">
        <v>1448</v>
      </c>
      <c r="B1449">
        <v>2</v>
      </c>
      <c r="C1449">
        <v>101</v>
      </c>
      <c r="D1449">
        <v>58</v>
      </c>
      <c r="E1449">
        <v>17</v>
      </c>
      <c r="F1449">
        <v>265</v>
      </c>
      <c r="G1449">
        <v>24.2</v>
      </c>
      <c r="H1449">
        <v>0.61399999999999999</v>
      </c>
      <c r="I1449">
        <v>23</v>
      </c>
      <c r="J1449">
        <v>0</v>
      </c>
      <c r="K1449" t="str">
        <f t="shared" si="44"/>
        <v>Young</v>
      </c>
      <c r="L1449" t="str">
        <f t="shared" si="45"/>
        <v>Normal</v>
      </c>
    </row>
    <row r="1450" spans="1:12" x14ac:dyDescent="0.2">
      <c r="A1450">
        <v>1449</v>
      </c>
      <c r="B1450">
        <v>2</v>
      </c>
      <c r="C1450">
        <v>56</v>
      </c>
      <c r="D1450">
        <v>56</v>
      </c>
      <c r="E1450">
        <v>28</v>
      </c>
      <c r="F1450">
        <v>45</v>
      </c>
      <c r="G1450">
        <v>24.2</v>
      </c>
      <c r="H1450">
        <v>0.33200000000000002</v>
      </c>
      <c r="I1450">
        <v>22</v>
      </c>
      <c r="J1450">
        <v>0</v>
      </c>
      <c r="K1450" t="str">
        <f t="shared" si="44"/>
        <v>Young</v>
      </c>
      <c r="L1450" t="str">
        <f t="shared" si="45"/>
        <v>Normal</v>
      </c>
    </row>
    <row r="1451" spans="1:12" x14ac:dyDescent="0.2">
      <c r="A1451">
        <v>1450</v>
      </c>
      <c r="B1451">
        <v>0</v>
      </c>
      <c r="C1451">
        <v>162</v>
      </c>
      <c r="D1451">
        <v>76</v>
      </c>
      <c r="E1451">
        <v>36</v>
      </c>
      <c r="F1451">
        <v>0</v>
      </c>
      <c r="G1451">
        <v>49.6</v>
      </c>
      <c r="H1451">
        <v>0.36399999999999999</v>
      </c>
      <c r="I1451">
        <v>26</v>
      </c>
      <c r="J1451">
        <v>1</v>
      </c>
      <c r="K1451" t="str">
        <f t="shared" si="44"/>
        <v>Young</v>
      </c>
      <c r="L1451" t="str">
        <f t="shared" si="45"/>
        <v>Obese</v>
      </c>
    </row>
    <row r="1452" spans="1:12" x14ac:dyDescent="0.2">
      <c r="A1452">
        <v>1451</v>
      </c>
      <c r="B1452">
        <v>0</v>
      </c>
      <c r="C1452">
        <v>95</v>
      </c>
      <c r="D1452">
        <v>64</v>
      </c>
      <c r="E1452">
        <v>39</v>
      </c>
      <c r="F1452">
        <v>105</v>
      </c>
      <c r="G1452">
        <v>44.6</v>
      </c>
      <c r="H1452">
        <v>0.36599999999999999</v>
      </c>
      <c r="I1452">
        <v>22</v>
      </c>
      <c r="J1452">
        <v>0</v>
      </c>
      <c r="K1452" t="str">
        <f t="shared" si="44"/>
        <v>Young</v>
      </c>
      <c r="L1452" t="str">
        <f t="shared" si="45"/>
        <v>Obese</v>
      </c>
    </row>
    <row r="1453" spans="1:12" x14ac:dyDescent="0.2">
      <c r="A1453">
        <v>1452</v>
      </c>
      <c r="B1453">
        <v>4</v>
      </c>
      <c r="C1453">
        <v>125</v>
      </c>
      <c r="D1453">
        <v>80</v>
      </c>
      <c r="E1453">
        <v>0</v>
      </c>
      <c r="F1453">
        <v>0</v>
      </c>
      <c r="G1453">
        <v>32.299999999999997</v>
      </c>
      <c r="H1453">
        <v>0.53600000000000003</v>
      </c>
      <c r="I1453">
        <v>27</v>
      </c>
      <c r="J1453">
        <v>1</v>
      </c>
      <c r="K1453" t="str">
        <f t="shared" si="44"/>
        <v>Young</v>
      </c>
      <c r="L1453" t="str">
        <f t="shared" si="45"/>
        <v>Obese</v>
      </c>
    </row>
    <row r="1454" spans="1:12" x14ac:dyDescent="0.2">
      <c r="A1454">
        <v>1453</v>
      </c>
      <c r="B1454">
        <v>5</v>
      </c>
      <c r="C1454">
        <v>136</v>
      </c>
      <c r="D1454">
        <v>82</v>
      </c>
      <c r="E1454">
        <v>0</v>
      </c>
      <c r="F1454">
        <v>0</v>
      </c>
      <c r="G1454">
        <v>121</v>
      </c>
      <c r="H1454">
        <v>0.64</v>
      </c>
      <c r="I1454">
        <v>69</v>
      </c>
      <c r="J1454">
        <v>0</v>
      </c>
      <c r="K1454" t="str">
        <f t="shared" si="44"/>
        <v>Senior</v>
      </c>
      <c r="L1454" t="str">
        <f t="shared" si="45"/>
        <v>Obese</v>
      </c>
    </row>
    <row r="1455" spans="1:12" x14ac:dyDescent="0.2">
      <c r="A1455">
        <v>1454</v>
      </c>
      <c r="B1455">
        <v>2</v>
      </c>
      <c r="C1455">
        <v>129</v>
      </c>
      <c r="D1455">
        <v>74</v>
      </c>
      <c r="E1455">
        <v>26</v>
      </c>
      <c r="F1455">
        <v>205</v>
      </c>
      <c r="G1455">
        <v>33.200000000000003</v>
      </c>
      <c r="H1455">
        <v>0.59099999999999997</v>
      </c>
      <c r="I1455">
        <v>25</v>
      </c>
      <c r="J1455">
        <v>0</v>
      </c>
      <c r="K1455" t="str">
        <f t="shared" si="44"/>
        <v>Young</v>
      </c>
      <c r="L1455" t="str">
        <f t="shared" si="45"/>
        <v>Obese</v>
      </c>
    </row>
    <row r="1456" spans="1:12" x14ac:dyDescent="0.2">
      <c r="A1456">
        <v>1455</v>
      </c>
      <c r="B1456">
        <v>3</v>
      </c>
      <c r="C1456">
        <v>130</v>
      </c>
      <c r="D1456">
        <v>64</v>
      </c>
      <c r="E1456">
        <v>0</v>
      </c>
      <c r="F1456">
        <v>0</v>
      </c>
      <c r="G1456">
        <v>23.1</v>
      </c>
      <c r="H1456">
        <v>0.314</v>
      </c>
      <c r="I1456">
        <v>22</v>
      </c>
      <c r="J1456">
        <v>0</v>
      </c>
      <c r="K1456" t="str">
        <f t="shared" si="44"/>
        <v>Young</v>
      </c>
      <c r="L1456" t="str">
        <f t="shared" si="45"/>
        <v>Normal</v>
      </c>
    </row>
    <row r="1457" spans="1:12" x14ac:dyDescent="0.2">
      <c r="A1457">
        <v>1456</v>
      </c>
      <c r="B1457">
        <v>1</v>
      </c>
      <c r="C1457">
        <v>107</v>
      </c>
      <c r="D1457">
        <v>50</v>
      </c>
      <c r="E1457">
        <v>19</v>
      </c>
      <c r="F1457">
        <v>0</v>
      </c>
      <c r="G1457">
        <v>28.3</v>
      </c>
      <c r="H1457">
        <v>0.18099999999999999</v>
      </c>
      <c r="I1457">
        <v>29</v>
      </c>
      <c r="J1457">
        <v>0</v>
      </c>
      <c r="K1457" t="str">
        <f t="shared" si="44"/>
        <v>Young</v>
      </c>
      <c r="L1457" t="str">
        <f t="shared" si="45"/>
        <v>Overweight</v>
      </c>
    </row>
    <row r="1458" spans="1:12" x14ac:dyDescent="0.2">
      <c r="A1458">
        <v>1457</v>
      </c>
      <c r="B1458">
        <v>1</v>
      </c>
      <c r="C1458">
        <v>140</v>
      </c>
      <c r="D1458">
        <v>74</v>
      </c>
      <c r="E1458">
        <v>26</v>
      </c>
      <c r="F1458">
        <v>180</v>
      </c>
      <c r="G1458">
        <v>24.1</v>
      </c>
      <c r="H1458">
        <v>0.82799999999999996</v>
      </c>
      <c r="I1458">
        <v>23</v>
      </c>
      <c r="J1458">
        <v>0</v>
      </c>
      <c r="K1458" t="str">
        <f t="shared" si="44"/>
        <v>Young</v>
      </c>
      <c r="L1458" t="str">
        <f t="shared" si="45"/>
        <v>Normal</v>
      </c>
    </row>
    <row r="1459" spans="1:12" x14ac:dyDescent="0.2">
      <c r="A1459">
        <v>1458</v>
      </c>
      <c r="B1459">
        <v>1</v>
      </c>
      <c r="C1459">
        <v>144</v>
      </c>
      <c r="D1459">
        <v>82</v>
      </c>
      <c r="E1459">
        <v>46</v>
      </c>
      <c r="F1459">
        <v>180</v>
      </c>
      <c r="G1459">
        <v>46.1</v>
      </c>
      <c r="H1459">
        <v>0.33500000000000002</v>
      </c>
      <c r="I1459">
        <v>46</v>
      </c>
      <c r="J1459">
        <v>1</v>
      </c>
      <c r="K1459" t="str">
        <f t="shared" si="44"/>
        <v>Senior</v>
      </c>
      <c r="L1459" t="str">
        <f t="shared" si="45"/>
        <v>Obese</v>
      </c>
    </row>
    <row r="1460" spans="1:12" x14ac:dyDescent="0.2">
      <c r="A1460">
        <v>1459</v>
      </c>
      <c r="B1460">
        <v>8</v>
      </c>
      <c r="C1460">
        <v>107</v>
      </c>
      <c r="D1460">
        <v>80</v>
      </c>
      <c r="E1460">
        <v>0</v>
      </c>
      <c r="F1460">
        <v>0</v>
      </c>
      <c r="G1460">
        <v>24.6</v>
      </c>
      <c r="H1460">
        <v>0.85599999999999998</v>
      </c>
      <c r="I1460">
        <v>34</v>
      </c>
      <c r="J1460">
        <v>0</v>
      </c>
      <c r="K1460" t="str">
        <f t="shared" si="44"/>
        <v>Middle-Aged</v>
      </c>
      <c r="L1460" t="str">
        <f t="shared" si="45"/>
        <v>Normal</v>
      </c>
    </row>
    <row r="1461" spans="1:12" x14ac:dyDescent="0.2">
      <c r="A1461">
        <v>1460</v>
      </c>
      <c r="B1461">
        <v>13</v>
      </c>
      <c r="C1461">
        <v>158</v>
      </c>
      <c r="D1461">
        <v>114</v>
      </c>
      <c r="E1461">
        <v>0</v>
      </c>
      <c r="F1461">
        <v>0</v>
      </c>
      <c r="G1461">
        <v>42.3</v>
      </c>
      <c r="H1461">
        <v>0.25700000000000001</v>
      </c>
      <c r="I1461">
        <v>44</v>
      </c>
      <c r="J1461">
        <v>1</v>
      </c>
      <c r="K1461" t="str">
        <f t="shared" si="44"/>
        <v>Middle-Aged</v>
      </c>
      <c r="L1461" t="str">
        <f t="shared" si="45"/>
        <v>Obese</v>
      </c>
    </row>
    <row r="1462" spans="1:12" x14ac:dyDescent="0.2">
      <c r="A1462">
        <v>1461</v>
      </c>
      <c r="B1462">
        <v>2</v>
      </c>
      <c r="C1462">
        <v>121</v>
      </c>
      <c r="D1462">
        <v>70</v>
      </c>
      <c r="E1462">
        <v>32</v>
      </c>
      <c r="F1462">
        <v>95</v>
      </c>
      <c r="G1462">
        <v>39.1</v>
      </c>
      <c r="H1462">
        <v>0.88600000000000001</v>
      </c>
      <c r="I1462">
        <v>23</v>
      </c>
      <c r="J1462">
        <v>0</v>
      </c>
      <c r="K1462" t="str">
        <f t="shared" si="44"/>
        <v>Young</v>
      </c>
      <c r="L1462" t="str">
        <f t="shared" si="45"/>
        <v>Obese</v>
      </c>
    </row>
    <row r="1463" spans="1:12" x14ac:dyDescent="0.2">
      <c r="A1463">
        <v>1462</v>
      </c>
      <c r="B1463">
        <v>7</v>
      </c>
      <c r="C1463">
        <v>129</v>
      </c>
      <c r="D1463">
        <v>68</v>
      </c>
      <c r="E1463">
        <v>49</v>
      </c>
      <c r="F1463">
        <v>125</v>
      </c>
      <c r="G1463">
        <v>38.5</v>
      </c>
      <c r="H1463">
        <v>0.439</v>
      </c>
      <c r="I1463">
        <v>43</v>
      </c>
      <c r="J1463">
        <v>1</v>
      </c>
      <c r="K1463" t="str">
        <f t="shared" si="44"/>
        <v>Middle-Aged</v>
      </c>
      <c r="L1463" t="str">
        <f t="shared" si="45"/>
        <v>Obese</v>
      </c>
    </row>
    <row r="1464" spans="1:12" x14ac:dyDescent="0.2">
      <c r="A1464">
        <v>1463</v>
      </c>
      <c r="B1464">
        <v>2</v>
      </c>
      <c r="C1464">
        <v>90</v>
      </c>
      <c r="D1464">
        <v>60</v>
      </c>
      <c r="E1464">
        <v>0</v>
      </c>
      <c r="F1464">
        <v>0</v>
      </c>
      <c r="G1464">
        <v>23.5</v>
      </c>
      <c r="H1464">
        <v>0.191</v>
      </c>
      <c r="I1464">
        <v>25</v>
      </c>
      <c r="J1464">
        <v>0</v>
      </c>
      <c r="K1464" t="str">
        <f t="shared" si="44"/>
        <v>Young</v>
      </c>
      <c r="L1464" t="str">
        <f t="shared" si="45"/>
        <v>Normal</v>
      </c>
    </row>
    <row r="1465" spans="1:12" x14ac:dyDescent="0.2">
      <c r="A1465">
        <v>1464</v>
      </c>
      <c r="B1465">
        <v>7</v>
      </c>
      <c r="C1465">
        <v>142</v>
      </c>
      <c r="D1465">
        <v>90</v>
      </c>
      <c r="E1465">
        <v>24</v>
      </c>
      <c r="F1465">
        <v>480</v>
      </c>
      <c r="G1465">
        <v>30.4</v>
      </c>
      <c r="H1465">
        <v>0.128</v>
      </c>
      <c r="I1465">
        <v>43</v>
      </c>
      <c r="J1465">
        <v>1</v>
      </c>
      <c r="K1465" t="str">
        <f t="shared" si="44"/>
        <v>Middle-Aged</v>
      </c>
      <c r="L1465" t="str">
        <f t="shared" si="45"/>
        <v>Obese</v>
      </c>
    </row>
    <row r="1466" spans="1:12" x14ac:dyDescent="0.2">
      <c r="A1466">
        <v>1465</v>
      </c>
      <c r="B1466">
        <v>3</v>
      </c>
      <c r="C1466">
        <v>169</v>
      </c>
      <c r="D1466">
        <v>74</v>
      </c>
      <c r="E1466">
        <v>19</v>
      </c>
      <c r="F1466">
        <v>125</v>
      </c>
      <c r="G1466">
        <v>29.9</v>
      </c>
      <c r="H1466">
        <v>0.26800000000000002</v>
      </c>
      <c r="I1466">
        <v>31</v>
      </c>
      <c r="J1466">
        <v>1</v>
      </c>
      <c r="K1466" t="str">
        <f t="shared" si="44"/>
        <v>Middle-Aged</v>
      </c>
      <c r="L1466" t="str">
        <f t="shared" si="45"/>
        <v>Overweight</v>
      </c>
    </row>
    <row r="1467" spans="1:12" x14ac:dyDescent="0.2">
      <c r="A1467">
        <v>1466</v>
      </c>
      <c r="B1467">
        <v>0</v>
      </c>
      <c r="C1467">
        <v>99</v>
      </c>
      <c r="D1467">
        <v>121</v>
      </c>
      <c r="E1467">
        <v>0</v>
      </c>
      <c r="F1467">
        <v>0</v>
      </c>
      <c r="G1467">
        <v>25</v>
      </c>
      <c r="H1467">
        <v>0.253</v>
      </c>
      <c r="I1467">
        <v>22</v>
      </c>
      <c r="J1467">
        <v>0</v>
      </c>
      <c r="K1467" t="str">
        <f t="shared" si="44"/>
        <v>Young</v>
      </c>
      <c r="L1467" t="str">
        <f t="shared" si="45"/>
        <v>Overweight</v>
      </c>
    </row>
    <row r="1468" spans="1:12" x14ac:dyDescent="0.2">
      <c r="A1468">
        <v>1467</v>
      </c>
      <c r="B1468">
        <v>4</v>
      </c>
      <c r="C1468">
        <v>127</v>
      </c>
      <c r="D1468">
        <v>88</v>
      </c>
      <c r="E1468">
        <v>11</v>
      </c>
      <c r="F1468">
        <v>155</v>
      </c>
      <c r="G1468">
        <v>34.5</v>
      </c>
      <c r="H1468">
        <v>0.59799999999999998</v>
      </c>
      <c r="I1468">
        <v>28</v>
      </c>
      <c r="J1468">
        <v>0</v>
      </c>
      <c r="K1468" t="str">
        <f t="shared" si="44"/>
        <v>Young</v>
      </c>
      <c r="L1468" t="str">
        <f t="shared" si="45"/>
        <v>Obese</v>
      </c>
    </row>
    <row r="1469" spans="1:12" x14ac:dyDescent="0.2">
      <c r="A1469">
        <v>1468</v>
      </c>
      <c r="B1469">
        <v>4</v>
      </c>
      <c r="C1469">
        <v>118</v>
      </c>
      <c r="D1469">
        <v>70</v>
      </c>
      <c r="E1469">
        <v>0</v>
      </c>
      <c r="F1469">
        <v>0</v>
      </c>
      <c r="G1469">
        <v>44.5</v>
      </c>
      <c r="H1469">
        <v>0.90400000000000003</v>
      </c>
      <c r="I1469">
        <v>26</v>
      </c>
      <c r="J1469">
        <v>0</v>
      </c>
      <c r="K1469" t="str">
        <f t="shared" si="44"/>
        <v>Young</v>
      </c>
      <c r="L1469" t="str">
        <f t="shared" si="45"/>
        <v>Obese</v>
      </c>
    </row>
    <row r="1470" spans="1:12" x14ac:dyDescent="0.2">
      <c r="A1470">
        <v>1469</v>
      </c>
      <c r="B1470">
        <v>2</v>
      </c>
      <c r="C1470">
        <v>122</v>
      </c>
      <c r="D1470">
        <v>76</v>
      </c>
      <c r="E1470">
        <v>27</v>
      </c>
      <c r="F1470">
        <v>200</v>
      </c>
      <c r="G1470">
        <v>35.9</v>
      </c>
      <c r="H1470">
        <v>0.48299999999999998</v>
      </c>
      <c r="I1470">
        <v>26</v>
      </c>
      <c r="J1470">
        <v>0</v>
      </c>
      <c r="K1470" t="str">
        <f t="shared" si="44"/>
        <v>Young</v>
      </c>
      <c r="L1470" t="str">
        <f t="shared" si="45"/>
        <v>Obese</v>
      </c>
    </row>
    <row r="1471" spans="1:12" x14ac:dyDescent="0.2">
      <c r="A1471">
        <v>1470</v>
      </c>
      <c r="B1471">
        <v>6</v>
      </c>
      <c r="C1471">
        <v>125</v>
      </c>
      <c r="D1471">
        <v>78</v>
      </c>
      <c r="E1471">
        <v>31</v>
      </c>
      <c r="F1471">
        <v>0</v>
      </c>
      <c r="G1471">
        <v>27.6</v>
      </c>
      <c r="H1471">
        <v>0.56499999999999995</v>
      </c>
      <c r="I1471">
        <v>49</v>
      </c>
      <c r="J1471">
        <v>1</v>
      </c>
      <c r="K1471" t="str">
        <f t="shared" si="44"/>
        <v>Senior</v>
      </c>
      <c r="L1471" t="str">
        <f t="shared" si="45"/>
        <v>Overweight</v>
      </c>
    </row>
    <row r="1472" spans="1:12" x14ac:dyDescent="0.2">
      <c r="A1472">
        <v>1471</v>
      </c>
      <c r="B1472">
        <v>1</v>
      </c>
      <c r="C1472">
        <v>168</v>
      </c>
      <c r="D1472">
        <v>88</v>
      </c>
      <c r="E1472">
        <v>29</v>
      </c>
      <c r="F1472">
        <v>0</v>
      </c>
      <c r="G1472">
        <v>35</v>
      </c>
      <c r="H1472">
        <v>0.90500000000000003</v>
      </c>
      <c r="I1472">
        <v>52</v>
      </c>
      <c r="J1472">
        <v>1</v>
      </c>
      <c r="K1472" t="str">
        <f t="shared" si="44"/>
        <v>Senior</v>
      </c>
      <c r="L1472" t="str">
        <f t="shared" si="45"/>
        <v>Obese</v>
      </c>
    </row>
    <row r="1473" spans="1:12" x14ac:dyDescent="0.2">
      <c r="A1473">
        <v>1472</v>
      </c>
      <c r="B1473">
        <v>2</v>
      </c>
      <c r="C1473">
        <v>129</v>
      </c>
      <c r="D1473">
        <v>121</v>
      </c>
      <c r="E1473">
        <v>0</v>
      </c>
      <c r="F1473">
        <v>0</v>
      </c>
      <c r="G1473">
        <v>38.5</v>
      </c>
      <c r="H1473">
        <v>0.30399999999999999</v>
      </c>
      <c r="I1473">
        <v>41</v>
      </c>
      <c r="J1473">
        <v>0</v>
      </c>
      <c r="K1473" t="str">
        <f t="shared" si="44"/>
        <v>Middle-Aged</v>
      </c>
      <c r="L1473" t="str">
        <f t="shared" si="45"/>
        <v>Obese</v>
      </c>
    </row>
    <row r="1474" spans="1:12" x14ac:dyDescent="0.2">
      <c r="A1474">
        <v>1473</v>
      </c>
      <c r="B1474">
        <v>4</v>
      </c>
      <c r="C1474">
        <v>110</v>
      </c>
      <c r="D1474">
        <v>76</v>
      </c>
      <c r="E1474">
        <v>20</v>
      </c>
      <c r="F1474">
        <v>100</v>
      </c>
      <c r="G1474">
        <v>28.4</v>
      </c>
      <c r="H1474">
        <v>0.11799999999999999</v>
      </c>
      <c r="I1474">
        <v>27</v>
      </c>
      <c r="J1474">
        <v>0</v>
      </c>
      <c r="K1474" t="str">
        <f t="shared" si="44"/>
        <v>Young</v>
      </c>
      <c r="L1474" t="str">
        <f t="shared" si="45"/>
        <v>Overweight</v>
      </c>
    </row>
    <row r="1475" spans="1:12" x14ac:dyDescent="0.2">
      <c r="A1475">
        <v>1474</v>
      </c>
      <c r="B1475">
        <v>6</v>
      </c>
      <c r="C1475">
        <v>80</v>
      </c>
      <c r="D1475">
        <v>80</v>
      </c>
      <c r="E1475">
        <v>36</v>
      </c>
      <c r="F1475">
        <v>0</v>
      </c>
      <c r="G1475">
        <v>39.799999999999997</v>
      </c>
      <c r="H1475">
        <v>0.17699999999999999</v>
      </c>
      <c r="I1475">
        <v>28</v>
      </c>
      <c r="J1475">
        <v>0</v>
      </c>
      <c r="K1475" t="str">
        <f t="shared" ref="K1475:K1538" si="46">IF(I1475&lt;30, "Young", IF( I1475&lt;45, "Middle-Aged", "Senior"))</f>
        <v>Young</v>
      </c>
      <c r="L1475" t="str">
        <f t="shared" ref="L1475:L1538" si="47">IF(G1475&lt;18.5, "Underweight", IF(G1475&lt;25, "Normal", IF(G1475&lt;30, "Overweight", "Obese")))</f>
        <v>Obese</v>
      </c>
    </row>
    <row r="1476" spans="1:12" x14ac:dyDescent="0.2">
      <c r="A1476">
        <v>1475</v>
      </c>
      <c r="B1476">
        <v>10</v>
      </c>
      <c r="C1476">
        <v>115</v>
      </c>
      <c r="D1476">
        <v>121</v>
      </c>
      <c r="E1476">
        <v>0</v>
      </c>
      <c r="F1476">
        <v>0</v>
      </c>
      <c r="G1476">
        <v>121</v>
      </c>
      <c r="H1476">
        <v>0.26100000000000001</v>
      </c>
      <c r="I1476">
        <v>30</v>
      </c>
      <c r="J1476">
        <v>1</v>
      </c>
      <c r="K1476" t="str">
        <f t="shared" si="46"/>
        <v>Middle-Aged</v>
      </c>
      <c r="L1476" t="str">
        <f t="shared" si="47"/>
        <v>Obese</v>
      </c>
    </row>
    <row r="1477" spans="1:12" x14ac:dyDescent="0.2">
      <c r="A1477">
        <v>1476</v>
      </c>
      <c r="B1477">
        <v>2</v>
      </c>
      <c r="C1477">
        <v>127</v>
      </c>
      <c r="D1477">
        <v>46</v>
      </c>
      <c r="E1477">
        <v>21</v>
      </c>
      <c r="F1477">
        <v>335</v>
      </c>
      <c r="G1477">
        <v>34.4</v>
      </c>
      <c r="H1477">
        <v>0.17599999999999999</v>
      </c>
      <c r="I1477">
        <v>22</v>
      </c>
      <c r="J1477">
        <v>0</v>
      </c>
      <c r="K1477" t="str">
        <f t="shared" si="46"/>
        <v>Young</v>
      </c>
      <c r="L1477" t="str">
        <f t="shared" si="47"/>
        <v>Obese</v>
      </c>
    </row>
    <row r="1478" spans="1:12" x14ac:dyDescent="0.2">
      <c r="A1478">
        <v>1477</v>
      </c>
      <c r="B1478">
        <v>9</v>
      </c>
      <c r="C1478">
        <v>164</v>
      </c>
      <c r="D1478">
        <v>78</v>
      </c>
      <c r="E1478">
        <v>0</v>
      </c>
      <c r="F1478">
        <v>0</v>
      </c>
      <c r="G1478">
        <v>32.799999999999997</v>
      </c>
      <c r="H1478">
        <v>0.14799999999999999</v>
      </c>
      <c r="I1478">
        <v>45</v>
      </c>
      <c r="J1478">
        <v>1</v>
      </c>
      <c r="K1478" t="str">
        <f t="shared" si="46"/>
        <v>Senior</v>
      </c>
      <c r="L1478" t="str">
        <f t="shared" si="47"/>
        <v>Obese</v>
      </c>
    </row>
    <row r="1479" spans="1:12" x14ac:dyDescent="0.2">
      <c r="A1479">
        <v>1478</v>
      </c>
      <c r="B1479">
        <v>2</v>
      </c>
      <c r="C1479">
        <v>93</v>
      </c>
      <c r="D1479">
        <v>64</v>
      </c>
      <c r="E1479">
        <v>32</v>
      </c>
      <c r="F1479">
        <v>160</v>
      </c>
      <c r="G1479">
        <v>38</v>
      </c>
      <c r="H1479">
        <v>0.67400000000000004</v>
      </c>
      <c r="I1479">
        <v>23</v>
      </c>
      <c r="J1479">
        <v>1</v>
      </c>
      <c r="K1479" t="str">
        <f t="shared" si="46"/>
        <v>Young</v>
      </c>
      <c r="L1479" t="str">
        <f t="shared" si="47"/>
        <v>Obese</v>
      </c>
    </row>
    <row r="1480" spans="1:12" x14ac:dyDescent="0.2">
      <c r="A1480">
        <v>1479</v>
      </c>
      <c r="B1480">
        <v>3</v>
      </c>
      <c r="C1480">
        <v>158</v>
      </c>
      <c r="D1480">
        <v>64</v>
      </c>
      <c r="E1480">
        <v>13</v>
      </c>
      <c r="F1480">
        <v>387</v>
      </c>
      <c r="G1480">
        <v>31.2</v>
      </c>
      <c r="H1480">
        <v>0.29499999999999998</v>
      </c>
      <c r="I1480">
        <v>24</v>
      </c>
      <c r="J1480">
        <v>0</v>
      </c>
      <c r="K1480" t="str">
        <f t="shared" si="46"/>
        <v>Young</v>
      </c>
      <c r="L1480" t="str">
        <f t="shared" si="47"/>
        <v>Obese</v>
      </c>
    </row>
    <row r="1481" spans="1:12" x14ac:dyDescent="0.2">
      <c r="A1481">
        <v>1480</v>
      </c>
      <c r="B1481">
        <v>5</v>
      </c>
      <c r="C1481">
        <v>126</v>
      </c>
      <c r="D1481">
        <v>78</v>
      </c>
      <c r="E1481">
        <v>27</v>
      </c>
      <c r="F1481">
        <v>22</v>
      </c>
      <c r="G1481">
        <v>29.6</v>
      </c>
      <c r="H1481">
        <v>0.439</v>
      </c>
      <c r="I1481">
        <v>40</v>
      </c>
      <c r="J1481">
        <v>0</v>
      </c>
      <c r="K1481" t="str">
        <f t="shared" si="46"/>
        <v>Middle-Aged</v>
      </c>
      <c r="L1481" t="str">
        <f t="shared" si="47"/>
        <v>Overweight</v>
      </c>
    </row>
    <row r="1482" spans="1:12" x14ac:dyDescent="0.2">
      <c r="A1482">
        <v>1481</v>
      </c>
      <c r="B1482">
        <v>10</v>
      </c>
      <c r="C1482">
        <v>129</v>
      </c>
      <c r="D1482">
        <v>62</v>
      </c>
      <c r="E1482">
        <v>36</v>
      </c>
      <c r="F1482">
        <v>0</v>
      </c>
      <c r="G1482">
        <v>41.2</v>
      </c>
      <c r="H1482">
        <v>0.441</v>
      </c>
      <c r="I1482">
        <v>38</v>
      </c>
      <c r="J1482">
        <v>1</v>
      </c>
      <c r="K1482" t="str">
        <f t="shared" si="46"/>
        <v>Middle-Aged</v>
      </c>
      <c r="L1482" t="str">
        <f t="shared" si="47"/>
        <v>Obese</v>
      </c>
    </row>
    <row r="1483" spans="1:12" x14ac:dyDescent="0.2">
      <c r="A1483">
        <v>1482</v>
      </c>
      <c r="B1483">
        <v>0</v>
      </c>
      <c r="C1483">
        <v>134</v>
      </c>
      <c r="D1483">
        <v>58</v>
      </c>
      <c r="E1483">
        <v>20</v>
      </c>
      <c r="F1483">
        <v>291</v>
      </c>
      <c r="G1483">
        <v>26.4</v>
      </c>
      <c r="H1483">
        <v>0.35199999999999998</v>
      </c>
      <c r="I1483">
        <v>21</v>
      </c>
      <c r="J1483">
        <v>0</v>
      </c>
      <c r="K1483" t="str">
        <f t="shared" si="46"/>
        <v>Young</v>
      </c>
      <c r="L1483" t="str">
        <f t="shared" si="47"/>
        <v>Overweight</v>
      </c>
    </row>
    <row r="1484" spans="1:12" x14ac:dyDescent="0.2">
      <c r="A1484">
        <v>1483</v>
      </c>
      <c r="B1484">
        <v>3</v>
      </c>
      <c r="C1484">
        <v>102</v>
      </c>
      <c r="D1484">
        <v>74</v>
      </c>
      <c r="E1484">
        <v>0</v>
      </c>
      <c r="F1484">
        <v>0</v>
      </c>
      <c r="G1484">
        <v>29.5</v>
      </c>
      <c r="H1484">
        <v>0.121</v>
      </c>
      <c r="I1484">
        <v>32</v>
      </c>
      <c r="J1484">
        <v>0</v>
      </c>
      <c r="K1484" t="str">
        <f t="shared" si="46"/>
        <v>Middle-Aged</v>
      </c>
      <c r="L1484" t="str">
        <f t="shared" si="47"/>
        <v>Overweight</v>
      </c>
    </row>
    <row r="1485" spans="1:12" x14ac:dyDescent="0.2">
      <c r="A1485">
        <v>1484</v>
      </c>
      <c r="B1485">
        <v>7</v>
      </c>
      <c r="C1485">
        <v>187</v>
      </c>
      <c r="D1485">
        <v>50</v>
      </c>
      <c r="E1485">
        <v>33</v>
      </c>
      <c r="F1485">
        <v>392</v>
      </c>
      <c r="G1485">
        <v>33.9</v>
      </c>
      <c r="H1485">
        <v>0.82599999999999996</v>
      </c>
      <c r="I1485">
        <v>34</v>
      </c>
      <c r="J1485">
        <v>1</v>
      </c>
      <c r="K1485" t="str">
        <f t="shared" si="46"/>
        <v>Middle-Aged</v>
      </c>
      <c r="L1485" t="str">
        <f t="shared" si="47"/>
        <v>Obese</v>
      </c>
    </row>
    <row r="1486" spans="1:12" x14ac:dyDescent="0.2">
      <c r="A1486">
        <v>1485</v>
      </c>
      <c r="B1486">
        <v>3</v>
      </c>
      <c r="C1486">
        <v>173</v>
      </c>
      <c r="D1486">
        <v>78</v>
      </c>
      <c r="E1486">
        <v>39</v>
      </c>
      <c r="F1486">
        <v>185</v>
      </c>
      <c r="G1486">
        <v>33.799999999999997</v>
      </c>
      <c r="H1486">
        <v>0.97</v>
      </c>
      <c r="I1486">
        <v>31</v>
      </c>
      <c r="J1486">
        <v>1</v>
      </c>
      <c r="K1486" t="str">
        <f t="shared" si="46"/>
        <v>Middle-Aged</v>
      </c>
      <c r="L1486" t="str">
        <f t="shared" si="47"/>
        <v>Obese</v>
      </c>
    </row>
    <row r="1487" spans="1:12" x14ac:dyDescent="0.2">
      <c r="A1487">
        <v>1486</v>
      </c>
      <c r="B1487">
        <v>10</v>
      </c>
      <c r="C1487">
        <v>94</v>
      </c>
      <c r="D1487">
        <v>72</v>
      </c>
      <c r="E1487">
        <v>18</v>
      </c>
      <c r="F1487">
        <v>0</v>
      </c>
      <c r="G1487">
        <v>23.1</v>
      </c>
      <c r="H1487">
        <v>0.59499999999999997</v>
      </c>
      <c r="I1487">
        <v>56</v>
      </c>
      <c r="J1487">
        <v>0</v>
      </c>
      <c r="K1487" t="str">
        <f t="shared" si="46"/>
        <v>Senior</v>
      </c>
      <c r="L1487" t="str">
        <f t="shared" si="47"/>
        <v>Normal</v>
      </c>
    </row>
    <row r="1488" spans="1:12" x14ac:dyDescent="0.2">
      <c r="A1488">
        <v>1487</v>
      </c>
      <c r="B1488">
        <v>1</v>
      </c>
      <c r="C1488">
        <v>108</v>
      </c>
      <c r="D1488">
        <v>60</v>
      </c>
      <c r="E1488">
        <v>46</v>
      </c>
      <c r="F1488">
        <v>178</v>
      </c>
      <c r="G1488">
        <v>35.5</v>
      </c>
      <c r="H1488">
        <v>0.41499999999999998</v>
      </c>
      <c r="I1488">
        <v>24</v>
      </c>
      <c r="J1488">
        <v>0</v>
      </c>
      <c r="K1488" t="str">
        <f t="shared" si="46"/>
        <v>Young</v>
      </c>
      <c r="L1488" t="str">
        <f t="shared" si="47"/>
        <v>Obese</v>
      </c>
    </row>
    <row r="1489" spans="1:12" x14ac:dyDescent="0.2">
      <c r="A1489">
        <v>1488</v>
      </c>
      <c r="B1489">
        <v>5</v>
      </c>
      <c r="C1489">
        <v>97</v>
      </c>
      <c r="D1489">
        <v>76</v>
      </c>
      <c r="E1489">
        <v>27</v>
      </c>
      <c r="F1489">
        <v>0</v>
      </c>
      <c r="G1489">
        <v>35.6</v>
      </c>
      <c r="H1489">
        <v>0.378</v>
      </c>
      <c r="I1489">
        <v>52</v>
      </c>
      <c r="J1489">
        <v>1</v>
      </c>
      <c r="K1489" t="str">
        <f t="shared" si="46"/>
        <v>Senior</v>
      </c>
      <c r="L1489" t="str">
        <f t="shared" si="47"/>
        <v>Obese</v>
      </c>
    </row>
    <row r="1490" spans="1:12" x14ac:dyDescent="0.2">
      <c r="A1490">
        <v>1489</v>
      </c>
      <c r="B1490">
        <v>4</v>
      </c>
      <c r="C1490">
        <v>83</v>
      </c>
      <c r="D1490">
        <v>86</v>
      </c>
      <c r="E1490">
        <v>19</v>
      </c>
      <c r="F1490">
        <v>0</v>
      </c>
      <c r="G1490">
        <v>29.3</v>
      </c>
      <c r="H1490">
        <v>0.317</v>
      </c>
      <c r="I1490">
        <v>34</v>
      </c>
      <c r="J1490">
        <v>0</v>
      </c>
      <c r="K1490" t="str">
        <f t="shared" si="46"/>
        <v>Middle-Aged</v>
      </c>
      <c r="L1490" t="str">
        <f t="shared" si="47"/>
        <v>Overweight</v>
      </c>
    </row>
    <row r="1491" spans="1:12" x14ac:dyDescent="0.2">
      <c r="A1491">
        <v>1490</v>
      </c>
      <c r="B1491">
        <v>1</v>
      </c>
      <c r="C1491">
        <v>114</v>
      </c>
      <c r="D1491">
        <v>66</v>
      </c>
      <c r="E1491">
        <v>36</v>
      </c>
      <c r="F1491">
        <v>200</v>
      </c>
      <c r="G1491">
        <v>38.1</v>
      </c>
      <c r="H1491">
        <v>0.28899999999999998</v>
      </c>
      <c r="I1491">
        <v>21</v>
      </c>
      <c r="J1491">
        <v>0</v>
      </c>
      <c r="K1491" t="str">
        <f t="shared" si="46"/>
        <v>Young</v>
      </c>
      <c r="L1491" t="str">
        <f t="shared" si="47"/>
        <v>Obese</v>
      </c>
    </row>
    <row r="1492" spans="1:12" x14ac:dyDescent="0.2">
      <c r="A1492">
        <v>1491</v>
      </c>
      <c r="B1492">
        <v>1</v>
      </c>
      <c r="C1492">
        <v>149</v>
      </c>
      <c r="D1492">
        <v>68</v>
      </c>
      <c r="E1492">
        <v>29</v>
      </c>
      <c r="F1492">
        <v>127</v>
      </c>
      <c r="G1492">
        <v>29.3</v>
      </c>
      <c r="H1492">
        <v>0.34899999999999998</v>
      </c>
      <c r="I1492">
        <v>42</v>
      </c>
      <c r="J1492">
        <v>1</v>
      </c>
      <c r="K1492" t="str">
        <f t="shared" si="46"/>
        <v>Middle-Aged</v>
      </c>
      <c r="L1492" t="str">
        <f t="shared" si="47"/>
        <v>Overweight</v>
      </c>
    </row>
    <row r="1493" spans="1:12" x14ac:dyDescent="0.2">
      <c r="A1493">
        <v>1492</v>
      </c>
      <c r="B1493">
        <v>5</v>
      </c>
      <c r="C1493">
        <v>117</v>
      </c>
      <c r="D1493">
        <v>86</v>
      </c>
      <c r="E1493">
        <v>30</v>
      </c>
      <c r="F1493">
        <v>105</v>
      </c>
      <c r="G1493">
        <v>39.1</v>
      </c>
      <c r="H1493">
        <v>0.251</v>
      </c>
      <c r="I1493">
        <v>42</v>
      </c>
      <c r="J1493">
        <v>0</v>
      </c>
      <c r="K1493" t="str">
        <f t="shared" si="46"/>
        <v>Middle-Aged</v>
      </c>
      <c r="L1493" t="str">
        <f t="shared" si="47"/>
        <v>Obese</v>
      </c>
    </row>
    <row r="1494" spans="1:12" x14ac:dyDescent="0.2">
      <c r="A1494">
        <v>1493</v>
      </c>
      <c r="B1494">
        <v>1</v>
      </c>
      <c r="C1494">
        <v>111</v>
      </c>
      <c r="D1494">
        <v>94</v>
      </c>
      <c r="E1494">
        <v>0</v>
      </c>
      <c r="F1494">
        <v>0</v>
      </c>
      <c r="G1494">
        <v>32.799999999999997</v>
      </c>
      <c r="H1494">
        <v>0.26500000000000001</v>
      </c>
      <c r="I1494">
        <v>45</v>
      </c>
      <c r="J1494">
        <v>0</v>
      </c>
      <c r="K1494" t="str">
        <f t="shared" si="46"/>
        <v>Senior</v>
      </c>
      <c r="L1494" t="str">
        <f t="shared" si="47"/>
        <v>Obese</v>
      </c>
    </row>
    <row r="1495" spans="1:12" x14ac:dyDescent="0.2">
      <c r="A1495">
        <v>1494</v>
      </c>
      <c r="B1495">
        <v>4</v>
      </c>
      <c r="C1495">
        <v>112</v>
      </c>
      <c r="D1495">
        <v>78</v>
      </c>
      <c r="E1495">
        <v>40</v>
      </c>
      <c r="F1495">
        <v>0</v>
      </c>
      <c r="G1495">
        <v>39.4</v>
      </c>
      <c r="H1495">
        <v>0.23599999999999999</v>
      </c>
      <c r="I1495">
        <v>38</v>
      </c>
      <c r="J1495">
        <v>0</v>
      </c>
      <c r="K1495" t="str">
        <f t="shared" si="46"/>
        <v>Middle-Aged</v>
      </c>
      <c r="L1495" t="str">
        <f t="shared" si="47"/>
        <v>Obese</v>
      </c>
    </row>
    <row r="1496" spans="1:12" x14ac:dyDescent="0.2">
      <c r="A1496">
        <v>1495</v>
      </c>
      <c r="B1496">
        <v>1</v>
      </c>
      <c r="C1496">
        <v>116</v>
      </c>
      <c r="D1496">
        <v>78</v>
      </c>
      <c r="E1496">
        <v>29</v>
      </c>
      <c r="F1496">
        <v>180</v>
      </c>
      <c r="G1496">
        <v>36.1</v>
      </c>
      <c r="H1496">
        <v>0.496</v>
      </c>
      <c r="I1496">
        <v>25</v>
      </c>
      <c r="J1496">
        <v>0</v>
      </c>
      <c r="K1496" t="str">
        <f t="shared" si="46"/>
        <v>Young</v>
      </c>
      <c r="L1496" t="str">
        <f t="shared" si="47"/>
        <v>Obese</v>
      </c>
    </row>
    <row r="1497" spans="1:12" x14ac:dyDescent="0.2">
      <c r="A1497">
        <v>1496</v>
      </c>
      <c r="B1497">
        <v>0</v>
      </c>
      <c r="C1497">
        <v>141</v>
      </c>
      <c r="D1497">
        <v>84</v>
      </c>
      <c r="E1497">
        <v>26</v>
      </c>
      <c r="F1497">
        <v>0</v>
      </c>
      <c r="G1497">
        <v>32.4</v>
      </c>
      <c r="H1497">
        <v>0.433</v>
      </c>
      <c r="I1497">
        <v>22</v>
      </c>
      <c r="J1497">
        <v>0</v>
      </c>
      <c r="K1497" t="str">
        <f t="shared" si="46"/>
        <v>Young</v>
      </c>
      <c r="L1497" t="str">
        <f t="shared" si="47"/>
        <v>Obese</v>
      </c>
    </row>
    <row r="1498" spans="1:12" x14ac:dyDescent="0.2">
      <c r="A1498">
        <v>1497</v>
      </c>
      <c r="B1498">
        <v>2</v>
      </c>
      <c r="C1498">
        <v>175</v>
      </c>
      <c r="D1498">
        <v>88</v>
      </c>
      <c r="E1498">
        <v>0</v>
      </c>
      <c r="F1498">
        <v>0</v>
      </c>
      <c r="G1498">
        <v>22.9</v>
      </c>
      <c r="H1498">
        <v>0.32600000000000001</v>
      </c>
      <c r="I1498">
        <v>22</v>
      </c>
      <c r="J1498">
        <v>0</v>
      </c>
      <c r="K1498" t="str">
        <f t="shared" si="46"/>
        <v>Young</v>
      </c>
      <c r="L1498" t="str">
        <f t="shared" si="47"/>
        <v>Normal</v>
      </c>
    </row>
    <row r="1499" spans="1:12" x14ac:dyDescent="0.2">
      <c r="A1499">
        <v>1498</v>
      </c>
      <c r="B1499">
        <v>2</v>
      </c>
      <c r="C1499">
        <v>92</v>
      </c>
      <c r="D1499">
        <v>52</v>
      </c>
      <c r="E1499">
        <v>0</v>
      </c>
      <c r="F1499">
        <v>0</v>
      </c>
      <c r="G1499">
        <v>30.1</v>
      </c>
      <c r="H1499">
        <v>0.14099999999999999</v>
      </c>
      <c r="I1499">
        <v>22</v>
      </c>
      <c r="J1499">
        <v>0</v>
      </c>
      <c r="K1499" t="str">
        <f t="shared" si="46"/>
        <v>Young</v>
      </c>
      <c r="L1499" t="str">
        <f t="shared" si="47"/>
        <v>Obese</v>
      </c>
    </row>
    <row r="1500" spans="1:12" x14ac:dyDescent="0.2">
      <c r="A1500">
        <v>1499</v>
      </c>
      <c r="B1500">
        <v>3</v>
      </c>
      <c r="C1500">
        <v>130</v>
      </c>
      <c r="D1500">
        <v>78</v>
      </c>
      <c r="E1500">
        <v>23</v>
      </c>
      <c r="F1500">
        <v>79</v>
      </c>
      <c r="G1500">
        <v>28.4</v>
      </c>
      <c r="H1500">
        <v>0.32300000000000001</v>
      </c>
      <c r="I1500">
        <v>34</v>
      </c>
      <c r="J1500">
        <v>1</v>
      </c>
      <c r="K1500" t="str">
        <f t="shared" si="46"/>
        <v>Middle-Aged</v>
      </c>
      <c r="L1500" t="str">
        <f t="shared" si="47"/>
        <v>Overweight</v>
      </c>
    </row>
    <row r="1501" spans="1:12" x14ac:dyDescent="0.2">
      <c r="A1501">
        <v>1500</v>
      </c>
      <c r="B1501">
        <v>8</v>
      </c>
      <c r="C1501">
        <v>120</v>
      </c>
      <c r="D1501">
        <v>86</v>
      </c>
      <c r="E1501">
        <v>0</v>
      </c>
      <c r="F1501">
        <v>0</v>
      </c>
      <c r="G1501">
        <v>28.4</v>
      </c>
      <c r="H1501">
        <v>0.25900000000000001</v>
      </c>
      <c r="I1501">
        <v>22</v>
      </c>
      <c r="J1501">
        <v>1</v>
      </c>
      <c r="K1501" t="str">
        <f t="shared" si="46"/>
        <v>Young</v>
      </c>
      <c r="L1501" t="str">
        <f t="shared" si="47"/>
        <v>Overweight</v>
      </c>
    </row>
    <row r="1502" spans="1:12" x14ac:dyDescent="0.2">
      <c r="A1502">
        <v>1501</v>
      </c>
      <c r="B1502">
        <v>2</v>
      </c>
      <c r="C1502">
        <v>174</v>
      </c>
      <c r="D1502">
        <v>88</v>
      </c>
      <c r="E1502">
        <v>37</v>
      </c>
      <c r="F1502">
        <v>120</v>
      </c>
      <c r="G1502">
        <v>44.5</v>
      </c>
      <c r="H1502">
        <v>0.64600000000000002</v>
      </c>
      <c r="I1502">
        <v>24</v>
      </c>
      <c r="J1502">
        <v>1</v>
      </c>
      <c r="K1502" t="str">
        <f t="shared" si="46"/>
        <v>Young</v>
      </c>
      <c r="L1502" t="str">
        <f t="shared" si="47"/>
        <v>Obese</v>
      </c>
    </row>
    <row r="1503" spans="1:12" x14ac:dyDescent="0.2">
      <c r="A1503">
        <v>1502</v>
      </c>
      <c r="B1503">
        <v>2</v>
      </c>
      <c r="C1503">
        <v>106</v>
      </c>
      <c r="D1503">
        <v>56</v>
      </c>
      <c r="E1503">
        <v>27</v>
      </c>
      <c r="F1503">
        <v>165</v>
      </c>
      <c r="G1503">
        <v>29</v>
      </c>
      <c r="H1503">
        <v>0.42599999999999999</v>
      </c>
      <c r="I1503">
        <v>22</v>
      </c>
      <c r="J1503">
        <v>0</v>
      </c>
      <c r="K1503" t="str">
        <f t="shared" si="46"/>
        <v>Young</v>
      </c>
      <c r="L1503" t="str">
        <f t="shared" si="47"/>
        <v>Overweight</v>
      </c>
    </row>
    <row r="1504" spans="1:12" x14ac:dyDescent="0.2">
      <c r="A1504">
        <v>1503</v>
      </c>
      <c r="B1504">
        <v>2</v>
      </c>
      <c r="C1504">
        <v>105</v>
      </c>
      <c r="D1504">
        <v>75</v>
      </c>
      <c r="E1504">
        <v>0</v>
      </c>
      <c r="F1504">
        <v>0</v>
      </c>
      <c r="G1504">
        <v>23.3</v>
      </c>
      <c r="H1504">
        <v>0.56000000000000005</v>
      </c>
      <c r="I1504">
        <v>53</v>
      </c>
      <c r="J1504">
        <v>0</v>
      </c>
      <c r="K1504" t="str">
        <f t="shared" si="46"/>
        <v>Senior</v>
      </c>
      <c r="L1504" t="str">
        <f t="shared" si="47"/>
        <v>Normal</v>
      </c>
    </row>
    <row r="1505" spans="1:12" x14ac:dyDescent="0.2">
      <c r="A1505">
        <v>1504</v>
      </c>
      <c r="B1505">
        <v>4</v>
      </c>
      <c r="C1505">
        <v>95</v>
      </c>
      <c r="D1505">
        <v>60</v>
      </c>
      <c r="E1505">
        <v>32</v>
      </c>
      <c r="F1505">
        <v>0</v>
      </c>
      <c r="G1505">
        <v>35.4</v>
      </c>
      <c r="H1505">
        <v>0.28399999999999997</v>
      </c>
      <c r="I1505">
        <v>28</v>
      </c>
      <c r="J1505">
        <v>0</v>
      </c>
      <c r="K1505" t="str">
        <f t="shared" si="46"/>
        <v>Young</v>
      </c>
      <c r="L1505" t="str">
        <f t="shared" si="47"/>
        <v>Obese</v>
      </c>
    </row>
    <row r="1506" spans="1:12" x14ac:dyDescent="0.2">
      <c r="A1506">
        <v>1505</v>
      </c>
      <c r="B1506">
        <v>0</v>
      </c>
      <c r="C1506">
        <v>126</v>
      </c>
      <c r="D1506">
        <v>86</v>
      </c>
      <c r="E1506">
        <v>27</v>
      </c>
      <c r="F1506">
        <v>120</v>
      </c>
      <c r="G1506">
        <v>27.4</v>
      </c>
      <c r="H1506">
        <v>0.51500000000000001</v>
      </c>
      <c r="I1506">
        <v>21</v>
      </c>
      <c r="J1506">
        <v>0</v>
      </c>
      <c r="K1506" t="str">
        <f t="shared" si="46"/>
        <v>Young</v>
      </c>
      <c r="L1506" t="str">
        <f t="shared" si="47"/>
        <v>Overweight</v>
      </c>
    </row>
    <row r="1507" spans="1:12" x14ac:dyDescent="0.2">
      <c r="A1507">
        <v>1506</v>
      </c>
      <c r="B1507">
        <v>8</v>
      </c>
      <c r="C1507">
        <v>65</v>
      </c>
      <c r="D1507">
        <v>72</v>
      </c>
      <c r="E1507">
        <v>23</v>
      </c>
      <c r="F1507">
        <v>0</v>
      </c>
      <c r="G1507">
        <v>32</v>
      </c>
      <c r="H1507">
        <v>0.6</v>
      </c>
      <c r="I1507">
        <v>42</v>
      </c>
      <c r="J1507">
        <v>0</v>
      </c>
      <c r="K1507" t="str">
        <f t="shared" si="46"/>
        <v>Middle-Aged</v>
      </c>
      <c r="L1507" t="str">
        <f t="shared" si="47"/>
        <v>Obese</v>
      </c>
    </row>
    <row r="1508" spans="1:12" x14ac:dyDescent="0.2">
      <c r="A1508">
        <v>1507</v>
      </c>
      <c r="B1508">
        <v>2</v>
      </c>
      <c r="C1508">
        <v>99</v>
      </c>
      <c r="D1508">
        <v>60</v>
      </c>
      <c r="E1508">
        <v>17</v>
      </c>
      <c r="F1508">
        <v>160</v>
      </c>
      <c r="G1508">
        <v>36.6</v>
      </c>
      <c r="H1508">
        <v>0.45300000000000001</v>
      </c>
      <c r="I1508">
        <v>21</v>
      </c>
      <c r="J1508">
        <v>0</v>
      </c>
      <c r="K1508" t="str">
        <f t="shared" si="46"/>
        <v>Young</v>
      </c>
      <c r="L1508" t="str">
        <f t="shared" si="47"/>
        <v>Obese</v>
      </c>
    </row>
    <row r="1509" spans="1:12" x14ac:dyDescent="0.2">
      <c r="A1509">
        <v>1508</v>
      </c>
      <c r="B1509">
        <v>1</v>
      </c>
      <c r="C1509">
        <v>102</v>
      </c>
      <c r="D1509">
        <v>74</v>
      </c>
      <c r="E1509">
        <v>0</v>
      </c>
      <c r="F1509">
        <v>0</v>
      </c>
      <c r="G1509">
        <v>39.5</v>
      </c>
      <c r="H1509">
        <v>0.29299999999999998</v>
      </c>
      <c r="I1509">
        <v>42</v>
      </c>
      <c r="J1509">
        <v>1</v>
      </c>
      <c r="K1509" t="str">
        <f t="shared" si="46"/>
        <v>Middle-Aged</v>
      </c>
      <c r="L1509" t="str">
        <f t="shared" si="47"/>
        <v>Obese</v>
      </c>
    </row>
    <row r="1510" spans="1:12" x14ac:dyDescent="0.2">
      <c r="A1510">
        <v>1509</v>
      </c>
      <c r="B1510">
        <v>11</v>
      </c>
      <c r="C1510">
        <v>120</v>
      </c>
      <c r="D1510">
        <v>80</v>
      </c>
      <c r="E1510">
        <v>37</v>
      </c>
      <c r="F1510">
        <v>150</v>
      </c>
      <c r="G1510">
        <v>42.3</v>
      </c>
      <c r="H1510">
        <v>0.78500000000000003</v>
      </c>
      <c r="I1510">
        <v>48</v>
      </c>
      <c r="J1510">
        <v>1</v>
      </c>
      <c r="K1510" t="str">
        <f t="shared" si="46"/>
        <v>Senior</v>
      </c>
      <c r="L1510" t="str">
        <f t="shared" si="47"/>
        <v>Obese</v>
      </c>
    </row>
    <row r="1511" spans="1:12" x14ac:dyDescent="0.2">
      <c r="A1511">
        <v>1510</v>
      </c>
      <c r="B1511">
        <v>3</v>
      </c>
      <c r="C1511">
        <v>102</v>
      </c>
      <c r="D1511">
        <v>44</v>
      </c>
      <c r="E1511">
        <v>20</v>
      </c>
      <c r="F1511">
        <v>94</v>
      </c>
      <c r="G1511">
        <v>30.8</v>
      </c>
      <c r="H1511">
        <v>0.4</v>
      </c>
      <c r="I1511">
        <v>26</v>
      </c>
      <c r="J1511">
        <v>0</v>
      </c>
      <c r="K1511" t="str">
        <f t="shared" si="46"/>
        <v>Young</v>
      </c>
      <c r="L1511" t="str">
        <f t="shared" si="47"/>
        <v>Obese</v>
      </c>
    </row>
    <row r="1512" spans="1:12" x14ac:dyDescent="0.2">
      <c r="A1512">
        <v>1511</v>
      </c>
      <c r="B1512">
        <v>1</v>
      </c>
      <c r="C1512">
        <v>109</v>
      </c>
      <c r="D1512">
        <v>58</v>
      </c>
      <c r="E1512">
        <v>18</v>
      </c>
      <c r="F1512">
        <v>116</v>
      </c>
      <c r="G1512">
        <v>28.5</v>
      </c>
      <c r="H1512">
        <v>0.219</v>
      </c>
      <c r="I1512">
        <v>22</v>
      </c>
      <c r="J1512">
        <v>0</v>
      </c>
      <c r="K1512" t="str">
        <f t="shared" si="46"/>
        <v>Young</v>
      </c>
      <c r="L1512" t="str">
        <f t="shared" si="47"/>
        <v>Overweight</v>
      </c>
    </row>
    <row r="1513" spans="1:12" x14ac:dyDescent="0.2">
      <c r="A1513">
        <v>1512</v>
      </c>
      <c r="B1513">
        <v>9</v>
      </c>
      <c r="C1513">
        <v>140</v>
      </c>
      <c r="D1513">
        <v>94</v>
      </c>
      <c r="E1513">
        <v>0</v>
      </c>
      <c r="F1513">
        <v>0</v>
      </c>
      <c r="G1513">
        <v>32.700000000000003</v>
      </c>
      <c r="H1513">
        <v>0.73399999999999999</v>
      </c>
      <c r="I1513">
        <v>45</v>
      </c>
      <c r="J1513">
        <v>1</v>
      </c>
      <c r="K1513" t="str">
        <f t="shared" si="46"/>
        <v>Senior</v>
      </c>
      <c r="L1513" t="str">
        <f t="shared" si="47"/>
        <v>Obese</v>
      </c>
    </row>
    <row r="1514" spans="1:12" x14ac:dyDescent="0.2">
      <c r="A1514">
        <v>1513</v>
      </c>
      <c r="B1514">
        <v>13</v>
      </c>
      <c r="C1514">
        <v>153</v>
      </c>
      <c r="D1514">
        <v>88</v>
      </c>
      <c r="E1514">
        <v>37</v>
      </c>
      <c r="F1514">
        <v>140</v>
      </c>
      <c r="G1514">
        <v>40.6</v>
      </c>
      <c r="H1514">
        <v>1.1739999999999999</v>
      </c>
      <c r="I1514">
        <v>39</v>
      </c>
      <c r="J1514">
        <v>0</v>
      </c>
      <c r="K1514" t="str">
        <f t="shared" si="46"/>
        <v>Middle-Aged</v>
      </c>
      <c r="L1514" t="str">
        <f t="shared" si="47"/>
        <v>Obese</v>
      </c>
    </row>
    <row r="1515" spans="1:12" x14ac:dyDescent="0.2">
      <c r="A1515">
        <v>1514</v>
      </c>
      <c r="B1515">
        <v>12</v>
      </c>
      <c r="C1515">
        <v>100</v>
      </c>
      <c r="D1515">
        <v>84</v>
      </c>
      <c r="E1515">
        <v>33</v>
      </c>
      <c r="F1515">
        <v>105</v>
      </c>
      <c r="G1515">
        <v>30</v>
      </c>
      <c r="H1515">
        <v>0.48799999999999999</v>
      </c>
      <c r="I1515">
        <v>46</v>
      </c>
      <c r="J1515">
        <v>0</v>
      </c>
      <c r="K1515" t="str">
        <f t="shared" si="46"/>
        <v>Senior</v>
      </c>
      <c r="L1515" t="str">
        <f t="shared" si="47"/>
        <v>Obese</v>
      </c>
    </row>
    <row r="1516" spans="1:12" x14ac:dyDescent="0.2">
      <c r="A1516">
        <v>1515</v>
      </c>
      <c r="B1516">
        <v>1</v>
      </c>
      <c r="C1516">
        <v>147</v>
      </c>
      <c r="D1516">
        <v>94</v>
      </c>
      <c r="E1516">
        <v>41</v>
      </c>
      <c r="F1516">
        <v>0</v>
      </c>
      <c r="G1516">
        <v>49.3</v>
      </c>
      <c r="H1516">
        <v>0.35799999999999998</v>
      </c>
      <c r="I1516">
        <v>27</v>
      </c>
      <c r="J1516">
        <v>1</v>
      </c>
      <c r="K1516" t="str">
        <f t="shared" si="46"/>
        <v>Young</v>
      </c>
      <c r="L1516" t="str">
        <f t="shared" si="47"/>
        <v>Obese</v>
      </c>
    </row>
    <row r="1517" spans="1:12" x14ac:dyDescent="0.2">
      <c r="A1517">
        <v>1516</v>
      </c>
      <c r="B1517">
        <v>1</v>
      </c>
      <c r="C1517">
        <v>81</v>
      </c>
      <c r="D1517">
        <v>74</v>
      </c>
      <c r="E1517">
        <v>41</v>
      </c>
      <c r="F1517">
        <v>57</v>
      </c>
      <c r="G1517">
        <v>46.3</v>
      </c>
      <c r="H1517">
        <v>1.0960000000000001</v>
      </c>
      <c r="I1517">
        <v>32</v>
      </c>
      <c r="J1517">
        <v>0</v>
      </c>
      <c r="K1517" t="str">
        <f t="shared" si="46"/>
        <v>Middle-Aged</v>
      </c>
      <c r="L1517" t="str">
        <f t="shared" si="47"/>
        <v>Obese</v>
      </c>
    </row>
    <row r="1518" spans="1:12" x14ac:dyDescent="0.2">
      <c r="A1518">
        <v>1517</v>
      </c>
      <c r="B1518">
        <v>3</v>
      </c>
      <c r="C1518">
        <v>187</v>
      </c>
      <c r="D1518">
        <v>70</v>
      </c>
      <c r="E1518">
        <v>22</v>
      </c>
      <c r="F1518">
        <v>200</v>
      </c>
      <c r="G1518">
        <v>36.4</v>
      </c>
      <c r="H1518">
        <v>0.40799999999999997</v>
      </c>
      <c r="I1518">
        <v>36</v>
      </c>
      <c r="J1518">
        <v>1</v>
      </c>
      <c r="K1518" t="str">
        <f t="shared" si="46"/>
        <v>Middle-Aged</v>
      </c>
      <c r="L1518" t="str">
        <f t="shared" si="47"/>
        <v>Obese</v>
      </c>
    </row>
    <row r="1519" spans="1:12" x14ac:dyDescent="0.2">
      <c r="A1519">
        <v>1518</v>
      </c>
      <c r="B1519">
        <v>6</v>
      </c>
      <c r="C1519">
        <v>162</v>
      </c>
      <c r="D1519">
        <v>62</v>
      </c>
      <c r="E1519">
        <v>0</v>
      </c>
      <c r="F1519">
        <v>0</v>
      </c>
      <c r="G1519">
        <v>24.3</v>
      </c>
      <c r="H1519">
        <v>0.17799999999999999</v>
      </c>
      <c r="I1519">
        <v>50</v>
      </c>
      <c r="J1519">
        <v>1</v>
      </c>
      <c r="K1519" t="str">
        <f t="shared" si="46"/>
        <v>Senior</v>
      </c>
      <c r="L1519" t="str">
        <f t="shared" si="47"/>
        <v>Normal</v>
      </c>
    </row>
    <row r="1520" spans="1:12" x14ac:dyDescent="0.2">
      <c r="A1520">
        <v>1519</v>
      </c>
      <c r="B1520">
        <v>4</v>
      </c>
      <c r="C1520">
        <v>136</v>
      </c>
      <c r="D1520">
        <v>70</v>
      </c>
      <c r="E1520">
        <v>0</v>
      </c>
      <c r="F1520">
        <v>0</v>
      </c>
      <c r="G1520">
        <v>31.2</v>
      </c>
      <c r="H1520">
        <v>1.1819999999999999</v>
      </c>
      <c r="I1520">
        <v>22</v>
      </c>
      <c r="J1520">
        <v>1</v>
      </c>
      <c r="K1520" t="str">
        <f t="shared" si="46"/>
        <v>Young</v>
      </c>
      <c r="L1520" t="str">
        <f t="shared" si="47"/>
        <v>Obese</v>
      </c>
    </row>
    <row r="1521" spans="1:12" x14ac:dyDescent="0.2">
      <c r="A1521">
        <v>1520</v>
      </c>
      <c r="B1521">
        <v>1</v>
      </c>
      <c r="C1521">
        <v>121</v>
      </c>
      <c r="D1521">
        <v>78</v>
      </c>
      <c r="E1521">
        <v>39</v>
      </c>
      <c r="F1521">
        <v>74</v>
      </c>
      <c r="G1521">
        <v>39</v>
      </c>
      <c r="H1521">
        <v>0.26100000000000001</v>
      </c>
      <c r="I1521">
        <v>28</v>
      </c>
      <c r="J1521">
        <v>0</v>
      </c>
      <c r="K1521" t="str">
        <f t="shared" si="46"/>
        <v>Young</v>
      </c>
      <c r="L1521" t="str">
        <f t="shared" si="47"/>
        <v>Obese</v>
      </c>
    </row>
    <row r="1522" spans="1:12" x14ac:dyDescent="0.2">
      <c r="A1522">
        <v>1521</v>
      </c>
      <c r="B1522">
        <v>3</v>
      </c>
      <c r="C1522">
        <v>108</v>
      </c>
      <c r="D1522">
        <v>62</v>
      </c>
      <c r="E1522">
        <v>24</v>
      </c>
      <c r="F1522">
        <v>0</v>
      </c>
      <c r="G1522">
        <v>26</v>
      </c>
      <c r="H1522">
        <v>0.223</v>
      </c>
      <c r="I1522">
        <v>25</v>
      </c>
      <c r="J1522">
        <v>0</v>
      </c>
      <c r="K1522" t="str">
        <f t="shared" si="46"/>
        <v>Young</v>
      </c>
      <c r="L1522" t="str">
        <f t="shared" si="47"/>
        <v>Overweight</v>
      </c>
    </row>
    <row r="1523" spans="1:12" x14ac:dyDescent="0.2">
      <c r="A1523">
        <v>1522</v>
      </c>
      <c r="B1523">
        <v>0</v>
      </c>
      <c r="C1523">
        <v>181</v>
      </c>
      <c r="D1523">
        <v>88</v>
      </c>
      <c r="E1523">
        <v>44</v>
      </c>
      <c r="F1523">
        <v>510</v>
      </c>
      <c r="G1523">
        <v>43.3</v>
      </c>
      <c r="H1523">
        <v>0.222</v>
      </c>
      <c r="I1523">
        <v>26</v>
      </c>
      <c r="J1523">
        <v>1</v>
      </c>
      <c r="K1523" t="str">
        <f t="shared" si="46"/>
        <v>Young</v>
      </c>
      <c r="L1523" t="str">
        <f t="shared" si="47"/>
        <v>Obese</v>
      </c>
    </row>
    <row r="1524" spans="1:12" x14ac:dyDescent="0.2">
      <c r="A1524">
        <v>1523</v>
      </c>
      <c r="B1524">
        <v>8</v>
      </c>
      <c r="C1524">
        <v>154</v>
      </c>
      <c r="D1524">
        <v>78</v>
      </c>
      <c r="E1524">
        <v>32</v>
      </c>
      <c r="F1524">
        <v>0</v>
      </c>
      <c r="G1524">
        <v>32.4</v>
      </c>
      <c r="H1524">
        <v>0.443</v>
      </c>
      <c r="I1524">
        <v>45</v>
      </c>
      <c r="J1524">
        <v>1</v>
      </c>
      <c r="K1524" t="str">
        <f t="shared" si="46"/>
        <v>Senior</v>
      </c>
      <c r="L1524" t="str">
        <f t="shared" si="47"/>
        <v>Obese</v>
      </c>
    </row>
    <row r="1525" spans="1:12" x14ac:dyDescent="0.2">
      <c r="A1525">
        <v>1524</v>
      </c>
      <c r="B1525">
        <v>1</v>
      </c>
      <c r="C1525">
        <v>128</v>
      </c>
      <c r="D1525">
        <v>88</v>
      </c>
      <c r="E1525">
        <v>39</v>
      </c>
      <c r="F1525">
        <v>110</v>
      </c>
      <c r="G1525">
        <v>36.5</v>
      </c>
      <c r="H1525">
        <v>1.0569999999999999</v>
      </c>
      <c r="I1525">
        <v>37</v>
      </c>
      <c r="J1525">
        <v>1</v>
      </c>
      <c r="K1525" t="str">
        <f t="shared" si="46"/>
        <v>Middle-Aged</v>
      </c>
      <c r="L1525" t="str">
        <f t="shared" si="47"/>
        <v>Obese</v>
      </c>
    </row>
    <row r="1526" spans="1:12" x14ac:dyDescent="0.2">
      <c r="A1526">
        <v>1525</v>
      </c>
      <c r="B1526">
        <v>7</v>
      </c>
      <c r="C1526">
        <v>137</v>
      </c>
      <c r="D1526">
        <v>90</v>
      </c>
      <c r="E1526">
        <v>41</v>
      </c>
      <c r="F1526">
        <v>0</v>
      </c>
      <c r="G1526">
        <v>32</v>
      </c>
      <c r="H1526">
        <v>0.39100000000000001</v>
      </c>
      <c r="I1526">
        <v>39</v>
      </c>
      <c r="J1526">
        <v>0</v>
      </c>
      <c r="K1526" t="str">
        <f t="shared" si="46"/>
        <v>Middle-Aged</v>
      </c>
      <c r="L1526" t="str">
        <f t="shared" si="47"/>
        <v>Obese</v>
      </c>
    </row>
    <row r="1527" spans="1:12" x14ac:dyDescent="0.2">
      <c r="A1527">
        <v>1526</v>
      </c>
      <c r="B1527">
        <v>0</v>
      </c>
      <c r="C1527">
        <v>123</v>
      </c>
      <c r="D1527">
        <v>72</v>
      </c>
      <c r="E1527">
        <v>0</v>
      </c>
      <c r="F1527">
        <v>0</v>
      </c>
      <c r="G1527">
        <v>36.299999999999997</v>
      </c>
      <c r="H1527">
        <v>0.25800000000000001</v>
      </c>
      <c r="I1527">
        <v>52</v>
      </c>
      <c r="J1527">
        <v>1</v>
      </c>
      <c r="K1527" t="str">
        <f t="shared" si="46"/>
        <v>Senior</v>
      </c>
      <c r="L1527" t="str">
        <f t="shared" si="47"/>
        <v>Obese</v>
      </c>
    </row>
    <row r="1528" spans="1:12" x14ac:dyDescent="0.2">
      <c r="A1528">
        <v>1527</v>
      </c>
      <c r="B1528">
        <v>1</v>
      </c>
      <c r="C1528">
        <v>106</v>
      </c>
      <c r="D1528">
        <v>76</v>
      </c>
      <c r="E1528">
        <v>0</v>
      </c>
      <c r="F1528">
        <v>0</v>
      </c>
      <c r="G1528">
        <v>37.5</v>
      </c>
      <c r="H1528">
        <v>0.19700000000000001</v>
      </c>
      <c r="I1528">
        <v>26</v>
      </c>
      <c r="J1528">
        <v>0</v>
      </c>
      <c r="K1528" t="str">
        <f t="shared" si="46"/>
        <v>Young</v>
      </c>
      <c r="L1528" t="str">
        <f t="shared" si="47"/>
        <v>Obese</v>
      </c>
    </row>
    <row r="1529" spans="1:12" x14ac:dyDescent="0.2">
      <c r="A1529">
        <v>1528</v>
      </c>
      <c r="B1529">
        <v>6</v>
      </c>
      <c r="C1529">
        <v>190</v>
      </c>
      <c r="D1529">
        <v>92</v>
      </c>
      <c r="E1529">
        <v>0</v>
      </c>
      <c r="F1529">
        <v>0</v>
      </c>
      <c r="G1529">
        <v>35.5</v>
      </c>
      <c r="H1529">
        <v>0.27800000000000002</v>
      </c>
      <c r="I1529">
        <v>66</v>
      </c>
      <c r="J1529">
        <v>1</v>
      </c>
      <c r="K1529" t="str">
        <f t="shared" si="46"/>
        <v>Senior</v>
      </c>
      <c r="L1529" t="str">
        <f t="shared" si="47"/>
        <v>Obese</v>
      </c>
    </row>
    <row r="1530" spans="1:12" x14ac:dyDescent="0.2">
      <c r="A1530">
        <v>1529</v>
      </c>
      <c r="B1530">
        <v>2</v>
      </c>
      <c r="C1530">
        <v>88</v>
      </c>
      <c r="D1530">
        <v>58</v>
      </c>
      <c r="E1530">
        <v>26</v>
      </c>
      <c r="F1530">
        <v>16</v>
      </c>
      <c r="G1530">
        <v>28.4</v>
      </c>
      <c r="H1530">
        <v>0.76600000000000001</v>
      </c>
      <c r="I1530">
        <v>22</v>
      </c>
      <c r="J1530">
        <v>0</v>
      </c>
      <c r="K1530" t="str">
        <f t="shared" si="46"/>
        <v>Young</v>
      </c>
      <c r="L1530" t="str">
        <f t="shared" si="47"/>
        <v>Overweight</v>
      </c>
    </row>
    <row r="1531" spans="1:12" x14ac:dyDescent="0.2">
      <c r="A1531">
        <v>1530</v>
      </c>
      <c r="B1531">
        <v>9</v>
      </c>
      <c r="C1531">
        <v>170</v>
      </c>
      <c r="D1531">
        <v>74</v>
      </c>
      <c r="E1531">
        <v>31</v>
      </c>
      <c r="F1531">
        <v>0</v>
      </c>
      <c r="G1531">
        <v>44</v>
      </c>
      <c r="H1531">
        <v>0.40300000000000002</v>
      </c>
      <c r="I1531">
        <v>43</v>
      </c>
      <c r="J1531">
        <v>1</v>
      </c>
      <c r="K1531" t="str">
        <f t="shared" si="46"/>
        <v>Middle-Aged</v>
      </c>
      <c r="L1531" t="str">
        <f t="shared" si="47"/>
        <v>Obese</v>
      </c>
    </row>
    <row r="1532" spans="1:12" x14ac:dyDescent="0.2">
      <c r="A1532">
        <v>1531</v>
      </c>
      <c r="B1532">
        <v>9</v>
      </c>
      <c r="C1532">
        <v>89</v>
      </c>
      <c r="D1532">
        <v>62</v>
      </c>
      <c r="E1532">
        <v>0</v>
      </c>
      <c r="F1532">
        <v>0</v>
      </c>
      <c r="G1532">
        <v>22.5</v>
      </c>
      <c r="H1532">
        <v>0.14199999999999999</v>
      </c>
      <c r="I1532">
        <v>33</v>
      </c>
      <c r="J1532">
        <v>0</v>
      </c>
      <c r="K1532" t="str">
        <f t="shared" si="46"/>
        <v>Middle-Aged</v>
      </c>
      <c r="L1532" t="str">
        <f t="shared" si="47"/>
        <v>Normal</v>
      </c>
    </row>
    <row r="1533" spans="1:12" x14ac:dyDescent="0.2">
      <c r="A1533">
        <v>1532</v>
      </c>
      <c r="B1533">
        <v>10</v>
      </c>
      <c r="C1533">
        <v>101</v>
      </c>
      <c r="D1533">
        <v>76</v>
      </c>
      <c r="E1533">
        <v>48</v>
      </c>
      <c r="F1533">
        <v>180</v>
      </c>
      <c r="G1533">
        <v>32.9</v>
      </c>
      <c r="H1533">
        <v>0.17100000000000001</v>
      </c>
      <c r="I1533">
        <v>63</v>
      </c>
      <c r="J1533">
        <v>0</v>
      </c>
      <c r="K1533" t="str">
        <f t="shared" si="46"/>
        <v>Senior</v>
      </c>
      <c r="L1533" t="str">
        <f t="shared" si="47"/>
        <v>Obese</v>
      </c>
    </row>
    <row r="1534" spans="1:12" x14ac:dyDescent="0.2">
      <c r="A1534">
        <v>1533</v>
      </c>
      <c r="B1534">
        <v>2</v>
      </c>
      <c r="C1534">
        <v>122</v>
      </c>
      <c r="D1534">
        <v>70</v>
      </c>
      <c r="E1534">
        <v>27</v>
      </c>
      <c r="F1534">
        <v>0</v>
      </c>
      <c r="G1534">
        <v>36.799999999999997</v>
      </c>
      <c r="H1534">
        <v>0.34</v>
      </c>
      <c r="I1534">
        <v>27</v>
      </c>
      <c r="J1534">
        <v>0</v>
      </c>
      <c r="K1534" t="str">
        <f t="shared" si="46"/>
        <v>Young</v>
      </c>
      <c r="L1534" t="str">
        <f t="shared" si="47"/>
        <v>Obese</v>
      </c>
    </row>
    <row r="1535" spans="1:12" x14ac:dyDescent="0.2">
      <c r="A1535">
        <v>1534</v>
      </c>
      <c r="B1535">
        <v>5</v>
      </c>
      <c r="C1535">
        <v>121</v>
      </c>
      <c r="D1535">
        <v>72</v>
      </c>
      <c r="E1535">
        <v>23</v>
      </c>
      <c r="F1535">
        <v>112</v>
      </c>
      <c r="G1535">
        <v>26.2</v>
      </c>
      <c r="H1535">
        <v>0.245</v>
      </c>
      <c r="I1535">
        <v>30</v>
      </c>
      <c r="J1535">
        <v>0</v>
      </c>
      <c r="K1535" t="str">
        <f t="shared" si="46"/>
        <v>Middle-Aged</v>
      </c>
      <c r="L1535" t="str">
        <f t="shared" si="47"/>
        <v>Overweight</v>
      </c>
    </row>
    <row r="1536" spans="1:12" x14ac:dyDescent="0.2">
      <c r="A1536">
        <v>1535</v>
      </c>
      <c r="B1536">
        <v>1</v>
      </c>
      <c r="C1536">
        <v>126</v>
      </c>
      <c r="D1536">
        <v>60</v>
      </c>
      <c r="E1536">
        <v>0</v>
      </c>
      <c r="F1536">
        <v>0</v>
      </c>
      <c r="G1536">
        <v>30.1</v>
      </c>
      <c r="H1536">
        <v>0.34899999999999998</v>
      </c>
      <c r="I1536">
        <v>47</v>
      </c>
      <c r="J1536">
        <v>1</v>
      </c>
      <c r="K1536" t="str">
        <f t="shared" si="46"/>
        <v>Senior</v>
      </c>
      <c r="L1536" t="str">
        <f t="shared" si="47"/>
        <v>Obese</v>
      </c>
    </row>
    <row r="1537" spans="1:12" x14ac:dyDescent="0.2">
      <c r="A1537">
        <v>1536</v>
      </c>
      <c r="B1537">
        <v>1</v>
      </c>
      <c r="C1537">
        <v>93</v>
      </c>
      <c r="D1537">
        <v>70</v>
      </c>
      <c r="E1537">
        <v>31</v>
      </c>
      <c r="F1537">
        <v>0</v>
      </c>
      <c r="G1537">
        <v>30.4</v>
      </c>
      <c r="H1537">
        <v>0.315</v>
      </c>
      <c r="I1537">
        <v>23</v>
      </c>
      <c r="J1537">
        <v>0</v>
      </c>
      <c r="K1537" t="str">
        <f t="shared" si="46"/>
        <v>Young</v>
      </c>
      <c r="L1537" t="str">
        <f t="shared" si="47"/>
        <v>Obese</v>
      </c>
    </row>
    <row r="1538" spans="1:12" x14ac:dyDescent="0.2">
      <c r="A1538">
        <v>1537</v>
      </c>
      <c r="B1538">
        <v>14</v>
      </c>
      <c r="C1538">
        <v>100</v>
      </c>
      <c r="D1538">
        <v>78</v>
      </c>
      <c r="E1538">
        <v>25</v>
      </c>
      <c r="F1538">
        <v>184</v>
      </c>
      <c r="G1538">
        <v>36.6</v>
      </c>
      <c r="H1538">
        <v>0.41199999999999998</v>
      </c>
      <c r="I1538">
        <v>46</v>
      </c>
      <c r="J1538">
        <v>1</v>
      </c>
      <c r="K1538" t="str">
        <f t="shared" si="46"/>
        <v>Senior</v>
      </c>
      <c r="L1538" t="str">
        <f t="shared" si="47"/>
        <v>Obese</v>
      </c>
    </row>
    <row r="1539" spans="1:12" x14ac:dyDescent="0.2">
      <c r="A1539">
        <v>1538</v>
      </c>
      <c r="B1539">
        <v>8</v>
      </c>
      <c r="C1539">
        <v>112</v>
      </c>
      <c r="D1539">
        <v>72</v>
      </c>
      <c r="E1539">
        <v>0</v>
      </c>
      <c r="F1539">
        <v>0</v>
      </c>
      <c r="G1539">
        <v>23.6</v>
      </c>
      <c r="H1539">
        <v>0.84</v>
      </c>
      <c r="I1539">
        <v>58</v>
      </c>
      <c r="J1539">
        <v>0</v>
      </c>
      <c r="K1539" t="str">
        <f t="shared" ref="K1539:K1602" si="48">IF(I1539&lt;30, "Young", IF( I1539&lt;45, "Middle-Aged", "Senior"))</f>
        <v>Senior</v>
      </c>
      <c r="L1539" t="str">
        <f t="shared" ref="L1539:L1602" si="49">IF(G1539&lt;18.5, "Underweight", IF(G1539&lt;25, "Normal", IF(G1539&lt;30, "Overweight", "Obese")))</f>
        <v>Normal</v>
      </c>
    </row>
    <row r="1540" spans="1:12" x14ac:dyDescent="0.2">
      <c r="A1540">
        <v>1539</v>
      </c>
      <c r="B1540">
        <v>0</v>
      </c>
      <c r="C1540">
        <v>167</v>
      </c>
      <c r="D1540">
        <v>121</v>
      </c>
      <c r="E1540">
        <v>0</v>
      </c>
      <c r="F1540">
        <v>0</v>
      </c>
      <c r="G1540">
        <v>32.299999999999997</v>
      </c>
      <c r="H1540">
        <v>0.83899999999999997</v>
      </c>
      <c r="I1540">
        <v>30</v>
      </c>
      <c r="J1540">
        <v>1</v>
      </c>
      <c r="K1540" t="str">
        <f t="shared" si="48"/>
        <v>Middle-Aged</v>
      </c>
      <c r="L1540" t="str">
        <f t="shared" si="49"/>
        <v>Obese</v>
      </c>
    </row>
    <row r="1541" spans="1:12" x14ac:dyDescent="0.2">
      <c r="A1541">
        <v>1540</v>
      </c>
      <c r="B1541">
        <v>2</v>
      </c>
      <c r="C1541">
        <v>144</v>
      </c>
      <c r="D1541">
        <v>58</v>
      </c>
      <c r="E1541">
        <v>33</v>
      </c>
      <c r="F1541">
        <v>135</v>
      </c>
      <c r="G1541">
        <v>31.6</v>
      </c>
      <c r="H1541">
        <v>0.42199999999999999</v>
      </c>
      <c r="I1541">
        <v>25</v>
      </c>
      <c r="J1541">
        <v>1</v>
      </c>
      <c r="K1541" t="str">
        <f t="shared" si="48"/>
        <v>Young</v>
      </c>
      <c r="L1541" t="str">
        <f t="shared" si="49"/>
        <v>Obese</v>
      </c>
    </row>
    <row r="1542" spans="1:12" x14ac:dyDescent="0.2">
      <c r="A1542">
        <v>1541</v>
      </c>
      <c r="B1542">
        <v>5</v>
      </c>
      <c r="C1542">
        <v>77</v>
      </c>
      <c r="D1542">
        <v>82</v>
      </c>
      <c r="E1542">
        <v>41</v>
      </c>
      <c r="F1542">
        <v>42</v>
      </c>
      <c r="G1542">
        <v>35.799999999999997</v>
      </c>
      <c r="H1542">
        <v>0.156</v>
      </c>
      <c r="I1542">
        <v>35</v>
      </c>
      <c r="J1542">
        <v>0</v>
      </c>
      <c r="K1542" t="str">
        <f t="shared" si="48"/>
        <v>Middle-Aged</v>
      </c>
      <c r="L1542" t="str">
        <f t="shared" si="49"/>
        <v>Obese</v>
      </c>
    </row>
    <row r="1543" spans="1:12" x14ac:dyDescent="0.2">
      <c r="A1543">
        <v>1542</v>
      </c>
      <c r="B1543">
        <v>5</v>
      </c>
      <c r="C1543">
        <v>115</v>
      </c>
      <c r="D1543">
        <v>98</v>
      </c>
      <c r="E1543">
        <v>0</v>
      </c>
      <c r="F1543">
        <v>0</v>
      </c>
      <c r="G1543">
        <v>52.9</v>
      </c>
      <c r="H1543">
        <v>0.20899999999999999</v>
      </c>
      <c r="I1543">
        <v>28</v>
      </c>
      <c r="J1543">
        <v>1</v>
      </c>
      <c r="K1543" t="str">
        <f t="shared" si="48"/>
        <v>Young</v>
      </c>
      <c r="L1543" t="str">
        <f t="shared" si="49"/>
        <v>Obese</v>
      </c>
    </row>
    <row r="1544" spans="1:12" x14ac:dyDescent="0.2">
      <c r="A1544">
        <v>1543</v>
      </c>
      <c r="B1544">
        <v>3</v>
      </c>
      <c r="C1544">
        <v>150</v>
      </c>
      <c r="D1544">
        <v>76</v>
      </c>
      <c r="E1544">
        <v>0</v>
      </c>
      <c r="F1544">
        <v>0</v>
      </c>
      <c r="G1544">
        <v>21</v>
      </c>
      <c r="H1544">
        <v>0.20699999999999999</v>
      </c>
      <c r="I1544">
        <v>37</v>
      </c>
      <c r="J1544">
        <v>0</v>
      </c>
      <c r="K1544" t="str">
        <f t="shared" si="48"/>
        <v>Middle-Aged</v>
      </c>
      <c r="L1544" t="str">
        <f t="shared" si="49"/>
        <v>Normal</v>
      </c>
    </row>
    <row r="1545" spans="1:12" x14ac:dyDescent="0.2">
      <c r="A1545">
        <v>1544</v>
      </c>
      <c r="B1545">
        <v>2</v>
      </c>
      <c r="C1545">
        <v>120</v>
      </c>
      <c r="D1545">
        <v>76</v>
      </c>
      <c r="E1545">
        <v>37</v>
      </c>
      <c r="F1545">
        <v>105</v>
      </c>
      <c r="G1545">
        <v>39.700000000000003</v>
      </c>
      <c r="H1545">
        <v>0.215</v>
      </c>
      <c r="I1545">
        <v>29</v>
      </c>
      <c r="J1545">
        <v>0</v>
      </c>
      <c r="K1545" t="str">
        <f t="shared" si="48"/>
        <v>Young</v>
      </c>
      <c r="L1545" t="str">
        <f t="shared" si="49"/>
        <v>Obese</v>
      </c>
    </row>
    <row r="1546" spans="1:12" x14ac:dyDescent="0.2">
      <c r="A1546">
        <v>1545</v>
      </c>
      <c r="B1546">
        <v>10</v>
      </c>
      <c r="C1546">
        <v>161</v>
      </c>
      <c r="D1546">
        <v>68</v>
      </c>
      <c r="E1546">
        <v>23</v>
      </c>
      <c r="F1546">
        <v>132</v>
      </c>
      <c r="G1546">
        <v>25.5</v>
      </c>
      <c r="H1546">
        <v>0.32600000000000001</v>
      </c>
      <c r="I1546">
        <v>47</v>
      </c>
      <c r="J1546">
        <v>1</v>
      </c>
      <c r="K1546" t="str">
        <f t="shared" si="48"/>
        <v>Senior</v>
      </c>
      <c r="L1546" t="str">
        <f t="shared" si="49"/>
        <v>Overweight</v>
      </c>
    </row>
    <row r="1547" spans="1:12" x14ac:dyDescent="0.2">
      <c r="A1547">
        <v>1546</v>
      </c>
      <c r="B1547">
        <v>0</v>
      </c>
      <c r="C1547">
        <v>137</v>
      </c>
      <c r="D1547">
        <v>68</v>
      </c>
      <c r="E1547">
        <v>14</v>
      </c>
      <c r="F1547">
        <v>148</v>
      </c>
      <c r="G1547">
        <v>24.8</v>
      </c>
      <c r="H1547">
        <v>0.14299999999999999</v>
      </c>
      <c r="I1547">
        <v>21</v>
      </c>
      <c r="J1547">
        <v>0</v>
      </c>
      <c r="K1547" t="str">
        <f t="shared" si="48"/>
        <v>Young</v>
      </c>
      <c r="L1547" t="str">
        <f t="shared" si="49"/>
        <v>Normal</v>
      </c>
    </row>
    <row r="1548" spans="1:12" x14ac:dyDescent="0.2">
      <c r="A1548">
        <v>1547</v>
      </c>
      <c r="B1548">
        <v>0</v>
      </c>
      <c r="C1548">
        <v>128</v>
      </c>
      <c r="D1548">
        <v>68</v>
      </c>
      <c r="E1548">
        <v>19</v>
      </c>
      <c r="F1548">
        <v>180</v>
      </c>
      <c r="G1548">
        <v>30.5</v>
      </c>
      <c r="H1548">
        <v>1.391</v>
      </c>
      <c r="I1548">
        <v>25</v>
      </c>
      <c r="J1548">
        <v>1</v>
      </c>
      <c r="K1548" t="str">
        <f t="shared" si="48"/>
        <v>Young</v>
      </c>
      <c r="L1548" t="str">
        <f t="shared" si="49"/>
        <v>Obese</v>
      </c>
    </row>
    <row r="1549" spans="1:12" x14ac:dyDescent="0.2">
      <c r="A1549">
        <v>1548</v>
      </c>
      <c r="B1549">
        <v>2</v>
      </c>
      <c r="C1549">
        <v>124</v>
      </c>
      <c r="D1549">
        <v>68</v>
      </c>
      <c r="E1549">
        <v>28</v>
      </c>
      <c r="F1549">
        <v>205</v>
      </c>
      <c r="G1549">
        <v>32.9</v>
      </c>
      <c r="H1549">
        <v>0.875</v>
      </c>
      <c r="I1549">
        <v>30</v>
      </c>
      <c r="J1549">
        <v>1</v>
      </c>
      <c r="K1549" t="str">
        <f t="shared" si="48"/>
        <v>Middle-Aged</v>
      </c>
      <c r="L1549" t="str">
        <f t="shared" si="49"/>
        <v>Obese</v>
      </c>
    </row>
    <row r="1550" spans="1:12" x14ac:dyDescent="0.2">
      <c r="A1550">
        <v>1549</v>
      </c>
      <c r="B1550">
        <v>6</v>
      </c>
      <c r="C1550">
        <v>80</v>
      </c>
      <c r="D1550">
        <v>66</v>
      </c>
      <c r="E1550">
        <v>30</v>
      </c>
      <c r="F1550">
        <v>0</v>
      </c>
      <c r="G1550">
        <v>26.2</v>
      </c>
      <c r="H1550">
        <v>0.313</v>
      </c>
      <c r="I1550">
        <v>41</v>
      </c>
      <c r="J1550">
        <v>0</v>
      </c>
      <c r="K1550" t="str">
        <f t="shared" si="48"/>
        <v>Middle-Aged</v>
      </c>
      <c r="L1550" t="str">
        <f t="shared" si="49"/>
        <v>Overweight</v>
      </c>
    </row>
    <row r="1551" spans="1:12" x14ac:dyDescent="0.2">
      <c r="A1551">
        <v>1550</v>
      </c>
      <c r="B1551">
        <v>0</v>
      </c>
      <c r="C1551">
        <v>106</v>
      </c>
      <c r="D1551">
        <v>70</v>
      </c>
      <c r="E1551">
        <v>37</v>
      </c>
      <c r="F1551">
        <v>148</v>
      </c>
      <c r="G1551">
        <v>39.4</v>
      </c>
      <c r="H1551">
        <v>0.60499999999999998</v>
      </c>
      <c r="I1551">
        <v>22</v>
      </c>
      <c r="J1551">
        <v>0</v>
      </c>
      <c r="K1551" t="str">
        <f t="shared" si="48"/>
        <v>Young</v>
      </c>
      <c r="L1551" t="str">
        <f t="shared" si="49"/>
        <v>Obese</v>
      </c>
    </row>
    <row r="1552" spans="1:12" x14ac:dyDescent="0.2">
      <c r="A1552">
        <v>1551</v>
      </c>
      <c r="B1552">
        <v>2</v>
      </c>
      <c r="C1552">
        <v>155</v>
      </c>
      <c r="D1552">
        <v>74</v>
      </c>
      <c r="E1552">
        <v>17</v>
      </c>
      <c r="F1552">
        <v>96</v>
      </c>
      <c r="G1552">
        <v>26.6</v>
      </c>
      <c r="H1552">
        <v>0.433</v>
      </c>
      <c r="I1552">
        <v>27</v>
      </c>
      <c r="J1552">
        <v>1</v>
      </c>
      <c r="K1552" t="str">
        <f t="shared" si="48"/>
        <v>Young</v>
      </c>
      <c r="L1552" t="str">
        <f t="shared" si="49"/>
        <v>Overweight</v>
      </c>
    </row>
    <row r="1553" spans="1:12" x14ac:dyDescent="0.2">
      <c r="A1553">
        <v>1552</v>
      </c>
      <c r="B1553">
        <v>3</v>
      </c>
      <c r="C1553">
        <v>113</v>
      </c>
      <c r="D1553">
        <v>50</v>
      </c>
      <c r="E1553">
        <v>10</v>
      </c>
      <c r="F1553">
        <v>85</v>
      </c>
      <c r="G1553">
        <v>29.5</v>
      </c>
      <c r="H1553">
        <v>0.626</v>
      </c>
      <c r="I1553">
        <v>25</v>
      </c>
      <c r="J1553">
        <v>0</v>
      </c>
      <c r="K1553" t="str">
        <f t="shared" si="48"/>
        <v>Young</v>
      </c>
      <c r="L1553" t="str">
        <f t="shared" si="49"/>
        <v>Overweight</v>
      </c>
    </row>
    <row r="1554" spans="1:12" x14ac:dyDescent="0.2">
      <c r="A1554">
        <v>1553</v>
      </c>
      <c r="B1554">
        <v>7</v>
      </c>
      <c r="C1554">
        <v>109</v>
      </c>
      <c r="D1554">
        <v>80</v>
      </c>
      <c r="E1554">
        <v>31</v>
      </c>
      <c r="F1554">
        <v>0</v>
      </c>
      <c r="G1554">
        <v>35.9</v>
      </c>
      <c r="H1554">
        <v>1.127</v>
      </c>
      <c r="I1554">
        <v>43</v>
      </c>
      <c r="J1554">
        <v>1</v>
      </c>
      <c r="K1554" t="str">
        <f t="shared" si="48"/>
        <v>Middle-Aged</v>
      </c>
      <c r="L1554" t="str">
        <f t="shared" si="49"/>
        <v>Obese</v>
      </c>
    </row>
    <row r="1555" spans="1:12" x14ac:dyDescent="0.2">
      <c r="A1555">
        <v>1554</v>
      </c>
      <c r="B1555">
        <v>2</v>
      </c>
      <c r="C1555">
        <v>112</v>
      </c>
      <c r="D1555">
        <v>68</v>
      </c>
      <c r="E1555">
        <v>22</v>
      </c>
      <c r="F1555">
        <v>94</v>
      </c>
      <c r="G1555">
        <v>34.1</v>
      </c>
      <c r="H1555">
        <v>0.315</v>
      </c>
      <c r="I1555">
        <v>26</v>
      </c>
      <c r="J1555">
        <v>0</v>
      </c>
      <c r="K1555" t="str">
        <f t="shared" si="48"/>
        <v>Young</v>
      </c>
      <c r="L1555" t="str">
        <f t="shared" si="49"/>
        <v>Obese</v>
      </c>
    </row>
    <row r="1556" spans="1:12" x14ac:dyDescent="0.2">
      <c r="A1556">
        <v>1555</v>
      </c>
      <c r="B1556">
        <v>3</v>
      </c>
      <c r="C1556">
        <v>99</v>
      </c>
      <c r="D1556">
        <v>80</v>
      </c>
      <c r="E1556">
        <v>11</v>
      </c>
      <c r="F1556">
        <v>64</v>
      </c>
      <c r="G1556">
        <v>19.3</v>
      </c>
      <c r="H1556">
        <v>0.28399999999999997</v>
      </c>
      <c r="I1556">
        <v>30</v>
      </c>
      <c r="J1556">
        <v>0</v>
      </c>
      <c r="K1556" t="str">
        <f t="shared" si="48"/>
        <v>Middle-Aged</v>
      </c>
      <c r="L1556" t="str">
        <f t="shared" si="49"/>
        <v>Normal</v>
      </c>
    </row>
    <row r="1557" spans="1:12" x14ac:dyDescent="0.2">
      <c r="A1557">
        <v>1556</v>
      </c>
      <c r="B1557">
        <v>3</v>
      </c>
      <c r="C1557">
        <v>182</v>
      </c>
      <c r="D1557">
        <v>74</v>
      </c>
      <c r="E1557">
        <v>0</v>
      </c>
      <c r="F1557">
        <v>0</v>
      </c>
      <c r="G1557">
        <v>30.5</v>
      </c>
      <c r="H1557">
        <v>0.34499999999999997</v>
      </c>
      <c r="I1557">
        <v>29</v>
      </c>
      <c r="J1557">
        <v>1</v>
      </c>
      <c r="K1557" t="str">
        <f t="shared" si="48"/>
        <v>Young</v>
      </c>
      <c r="L1557" t="str">
        <f t="shared" si="49"/>
        <v>Obese</v>
      </c>
    </row>
    <row r="1558" spans="1:12" x14ac:dyDescent="0.2">
      <c r="A1558">
        <v>1557</v>
      </c>
      <c r="B1558">
        <v>3</v>
      </c>
      <c r="C1558">
        <v>115</v>
      </c>
      <c r="D1558">
        <v>66</v>
      </c>
      <c r="E1558">
        <v>39</v>
      </c>
      <c r="F1558">
        <v>140</v>
      </c>
      <c r="G1558">
        <v>38.1</v>
      </c>
      <c r="H1558">
        <v>0.15</v>
      </c>
      <c r="I1558">
        <v>28</v>
      </c>
      <c r="J1558">
        <v>0</v>
      </c>
      <c r="K1558" t="str">
        <f t="shared" si="48"/>
        <v>Young</v>
      </c>
      <c r="L1558" t="str">
        <f t="shared" si="49"/>
        <v>Obese</v>
      </c>
    </row>
    <row r="1559" spans="1:12" x14ac:dyDescent="0.2">
      <c r="A1559">
        <v>1558</v>
      </c>
      <c r="B1559">
        <v>6</v>
      </c>
      <c r="C1559">
        <v>194</v>
      </c>
      <c r="D1559">
        <v>78</v>
      </c>
      <c r="E1559">
        <v>0</v>
      </c>
      <c r="F1559">
        <v>0</v>
      </c>
      <c r="G1559">
        <v>23.5</v>
      </c>
      <c r="H1559">
        <v>0.129</v>
      </c>
      <c r="I1559">
        <v>59</v>
      </c>
      <c r="J1559">
        <v>1</v>
      </c>
      <c r="K1559" t="str">
        <f t="shared" si="48"/>
        <v>Senior</v>
      </c>
      <c r="L1559" t="str">
        <f t="shared" si="49"/>
        <v>Normal</v>
      </c>
    </row>
    <row r="1560" spans="1:12" x14ac:dyDescent="0.2">
      <c r="A1560">
        <v>1559</v>
      </c>
      <c r="B1560">
        <v>4</v>
      </c>
      <c r="C1560">
        <v>129</v>
      </c>
      <c r="D1560">
        <v>60</v>
      </c>
      <c r="E1560">
        <v>12</v>
      </c>
      <c r="F1560">
        <v>231</v>
      </c>
      <c r="G1560">
        <v>27.5</v>
      </c>
      <c r="H1560">
        <v>0.52700000000000002</v>
      </c>
      <c r="I1560">
        <v>31</v>
      </c>
      <c r="J1560">
        <v>0</v>
      </c>
      <c r="K1560" t="str">
        <f t="shared" si="48"/>
        <v>Middle-Aged</v>
      </c>
      <c r="L1560" t="str">
        <f t="shared" si="49"/>
        <v>Overweight</v>
      </c>
    </row>
    <row r="1561" spans="1:12" x14ac:dyDescent="0.2">
      <c r="A1561">
        <v>1560</v>
      </c>
      <c r="B1561">
        <v>3</v>
      </c>
      <c r="C1561">
        <v>112</v>
      </c>
      <c r="D1561">
        <v>74</v>
      </c>
      <c r="E1561">
        <v>30</v>
      </c>
      <c r="F1561">
        <v>0</v>
      </c>
      <c r="G1561">
        <v>31.6</v>
      </c>
      <c r="H1561">
        <v>0.19700000000000001</v>
      </c>
      <c r="I1561">
        <v>25</v>
      </c>
      <c r="J1561">
        <v>1</v>
      </c>
      <c r="K1561" t="str">
        <f t="shared" si="48"/>
        <v>Young</v>
      </c>
      <c r="L1561" t="str">
        <f t="shared" si="49"/>
        <v>Obese</v>
      </c>
    </row>
    <row r="1562" spans="1:12" x14ac:dyDescent="0.2">
      <c r="A1562">
        <v>1561</v>
      </c>
      <c r="B1562">
        <v>0</v>
      </c>
      <c r="C1562">
        <v>124</v>
      </c>
      <c r="D1562">
        <v>70</v>
      </c>
      <c r="E1562">
        <v>20</v>
      </c>
      <c r="F1562">
        <v>0</v>
      </c>
      <c r="G1562">
        <v>27.4</v>
      </c>
      <c r="H1562">
        <v>0.254</v>
      </c>
      <c r="I1562">
        <v>36</v>
      </c>
      <c r="J1562">
        <v>1</v>
      </c>
      <c r="K1562" t="str">
        <f t="shared" si="48"/>
        <v>Middle-Aged</v>
      </c>
      <c r="L1562" t="str">
        <f t="shared" si="49"/>
        <v>Overweight</v>
      </c>
    </row>
    <row r="1563" spans="1:12" x14ac:dyDescent="0.2">
      <c r="A1563">
        <v>1562</v>
      </c>
      <c r="B1563">
        <v>13</v>
      </c>
      <c r="C1563">
        <v>152</v>
      </c>
      <c r="D1563">
        <v>90</v>
      </c>
      <c r="E1563">
        <v>33</v>
      </c>
      <c r="F1563">
        <v>29</v>
      </c>
      <c r="G1563">
        <v>26.8</v>
      </c>
      <c r="H1563">
        <v>0.73099999999999998</v>
      </c>
      <c r="I1563">
        <v>43</v>
      </c>
      <c r="J1563">
        <v>1</v>
      </c>
      <c r="K1563" t="str">
        <f t="shared" si="48"/>
        <v>Middle-Aged</v>
      </c>
      <c r="L1563" t="str">
        <f t="shared" si="49"/>
        <v>Overweight</v>
      </c>
    </row>
    <row r="1564" spans="1:12" x14ac:dyDescent="0.2">
      <c r="A1564">
        <v>1563</v>
      </c>
      <c r="B1564">
        <v>2</v>
      </c>
      <c r="C1564">
        <v>112</v>
      </c>
      <c r="D1564">
        <v>75</v>
      </c>
      <c r="E1564">
        <v>32</v>
      </c>
      <c r="F1564">
        <v>0</v>
      </c>
      <c r="G1564">
        <v>35.700000000000003</v>
      </c>
      <c r="H1564">
        <v>0.14799999999999999</v>
      </c>
      <c r="I1564">
        <v>21</v>
      </c>
      <c r="J1564">
        <v>0</v>
      </c>
      <c r="K1564" t="str">
        <f t="shared" si="48"/>
        <v>Young</v>
      </c>
      <c r="L1564" t="str">
        <f t="shared" si="49"/>
        <v>Obese</v>
      </c>
    </row>
    <row r="1565" spans="1:12" x14ac:dyDescent="0.2">
      <c r="A1565">
        <v>1564</v>
      </c>
      <c r="B1565">
        <v>1</v>
      </c>
      <c r="C1565">
        <v>157</v>
      </c>
      <c r="D1565">
        <v>72</v>
      </c>
      <c r="E1565">
        <v>21</v>
      </c>
      <c r="F1565">
        <v>168</v>
      </c>
      <c r="G1565">
        <v>25.6</v>
      </c>
      <c r="H1565">
        <v>0.123</v>
      </c>
      <c r="I1565">
        <v>24</v>
      </c>
      <c r="J1565">
        <v>0</v>
      </c>
      <c r="K1565" t="str">
        <f t="shared" si="48"/>
        <v>Young</v>
      </c>
      <c r="L1565" t="str">
        <f t="shared" si="49"/>
        <v>Overweight</v>
      </c>
    </row>
    <row r="1566" spans="1:12" x14ac:dyDescent="0.2">
      <c r="A1566">
        <v>1565</v>
      </c>
      <c r="B1566">
        <v>1</v>
      </c>
      <c r="C1566">
        <v>122</v>
      </c>
      <c r="D1566">
        <v>64</v>
      </c>
      <c r="E1566">
        <v>32</v>
      </c>
      <c r="F1566">
        <v>156</v>
      </c>
      <c r="G1566">
        <v>35.1</v>
      </c>
      <c r="H1566">
        <v>0.69199999999999995</v>
      </c>
      <c r="I1566">
        <v>30</v>
      </c>
      <c r="J1566">
        <v>1</v>
      </c>
      <c r="K1566" t="str">
        <f t="shared" si="48"/>
        <v>Middle-Aged</v>
      </c>
      <c r="L1566" t="str">
        <f t="shared" si="49"/>
        <v>Obese</v>
      </c>
    </row>
    <row r="1567" spans="1:12" x14ac:dyDescent="0.2">
      <c r="A1567">
        <v>1566</v>
      </c>
      <c r="B1567">
        <v>10</v>
      </c>
      <c r="C1567">
        <v>179</v>
      </c>
      <c r="D1567">
        <v>70</v>
      </c>
      <c r="E1567">
        <v>0</v>
      </c>
      <c r="F1567">
        <v>0</v>
      </c>
      <c r="G1567">
        <v>35.1</v>
      </c>
      <c r="H1567">
        <v>0.2</v>
      </c>
      <c r="I1567">
        <v>37</v>
      </c>
      <c r="J1567">
        <v>0</v>
      </c>
      <c r="K1567" t="str">
        <f t="shared" si="48"/>
        <v>Middle-Aged</v>
      </c>
      <c r="L1567" t="str">
        <f t="shared" si="49"/>
        <v>Obese</v>
      </c>
    </row>
    <row r="1568" spans="1:12" x14ac:dyDescent="0.2">
      <c r="A1568">
        <v>1567</v>
      </c>
      <c r="B1568">
        <v>2</v>
      </c>
      <c r="C1568">
        <v>102</v>
      </c>
      <c r="D1568">
        <v>86</v>
      </c>
      <c r="E1568">
        <v>36</v>
      </c>
      <c r="F1568">
        <v>120</v>
      </c>
      <c r="G1568">
        <v>45.5</v>
      </c>
      <c r="H1568">
        <v>0.127</v>
      </c>
      <c r="I1568">
        <v>23</v>
      </c>
      <c r="J1568">
        <v>1</v>
      </c>
      <c r="K1568" t="str">
        <f t="shared" si="48"/>
        <v>Young</v>
      </c>
      <c r="L1568" t="str">
        <f t="shared" si="49"/>
        <v>Obese</v>
      </c>
    </row>
    <row r="1569" spans="1:12" x14ac:dyDescent="0.2">
      <c r="A1569">
        <v>1568</v>
      </c>
      <c r="B1569">
        <v>6</v>
      </c>
      <c r="C1569">
        <v>105</v>
      </c>
      <c r="D1569">
        <v>70</v>
      </c>
      <c r="E1569">
        <v>32</v>
      </c>
      <c r="F1569">
        <v>68</v>
      </c>
      <c r="G1569">
        <v>30.8</v>
      </c>
      <c r="H1569">
        <v>0.122</v>
      </c>
      <c r="I1569">
        <v>37</v>
      </c>
      <c r="J1569">
        <v>0</v>
      </c>
      <c r="K1569" t="str">
        <f t="shared" si="48"/>
        <v>Middle-Aged</v>
      </c>
      <c r="L1569" t="str">
        <f t="shared" si="49"/>
        <v>Obese</v>
      </c>
    </row>
    <row r="1570" spans="1:12" x14ac:dyDescent="0.2">
      <c r="A1570">
        <v>1569</v>
      </c>
      <c r="B1570">
        <v>8</v>
      </c>
      <c r="C1570">
        <v>118</v>
      </c>
      <c r="D1570">
        <v>72</v>
      </c>
      <c r="E1570">
        <v>19</v>
      </c>
      <c r="F1570">
        <v>0</v>
      </c>
      <c r="G1570">
        <v>23.1</v>
      </c>
      <c r="H1570">
        <v>1.476</v>
      </c>
      <c r="I1570">
        <v>46</v>
      </c>
      <c r="J1570">
        <v>0</v>
      </c>
      <c r="K1570" t="str">
        <f t="shared" si="48"/>
        <v>Senior</v>
      </c>
      <c r="L1570" t="str">
        <f t="shared" si="49"/>
        <v>Normal</v>
      </c>
    </row>
    <row r="1571" spans="1:12" x14ac:dyDescent="0.2">
      <c r="A1571">
        <v>1570</v>
      </c>
      <c r="B1571">
        <v>2</v>
      </c>
      <c r="C1571">
        <v>87</v>
      </c>
      <c r="D1571">
        <v>58</v>
      </c>
      <c r="E1571">
        <v>16</v>
      </c>
      <c r="F1571">
        <v>52</v>
      </c>
      <c r="G1571">
        <v>32.700000000000003</v>
      </c>
      <c r="H1571">
        <v>0.16600000000000001</v>
      </c>
      <c r="I1571">
        <v>25</v>
      </c>
      <c r="J1571">
        <v>0</v>
      </c>
      <c r="K1571" t="str">
        <f t="shared" si="48"/>
        <v>Young</v>
      </c>
      <c r="L1571" t="str">
        <f t="shared" si="49"/>
        <v>Obese</v>
      </c>
    </row>
    <row r="1572" spans="1:12" x14ac:dyDescent="0.2">
      <c r="A1572">
        <v>1571</v>
      </c>
      <c r="B1572">
        <v>1</v>
      </c>
      <c r="C1572">
        <v>180</v>
      </c>
      <c r="D1572">
        <v>121</v>
      </c>
      <c r="E1572">
        <v>0</v>
      </c>
      <c r="F1572">
        <v>0</v>
      </c>
      <c r="G1572">
        <v>43.3</v>
      </c>
      <c r="H1572">
        <v>0.28199999999999997</v>
      </c>
      <c r="I1572">
        <v>41</v>
      </c>
      <c r="J1572">
        <v>1</v>
      </c>
      <c r="K1572" t="str">
        <f t="shared" si="48"/>
        <v>Middle-Aged</v>
      </c>
      <c r="L1572" t="str">
        <f t="shared" si="49"/>
        <v>Obese</v>
      </c>
    </row>
    <row r="1573" spans="1:12" x14ac:dyDescent="0.2">
      <c r="A1573">
        <v>1572</v>
      </c>
      <c r="B1573">
        <v>12</v>
      </c>
      <c r="C1573">
        <v>106</v>
      </c>
      <c r="D1573">
        <v>80</v>
      </c>
      <c r="E1573">
        <v>0</v>
      </c>
      <c r="F1573">
        <v>0</v>
      </c>
      <c r="G1573">
        <v>23.6</v>
      </c>
      <c r="H1573">
        <v>0.13700000000000001</v>
      </c>
      <c r="I1573">
        <v>44</v>
      </c>
      <c r="J1573">
        <v>0</v>
      </c>
      <c r="K1573" t="str">
        <f t="shared" si="48"/>
        <v>Middle-Aged</v>
      </c>
      <c r="L1573" t="str">
        <f t="shared" si="49"/>
        <v>Normal</v>
      </c>
    </row>
    <row r="1574" spans="1:12" x14ac:dyDescent="0.2">
      <c r="A1574">
        <v>1573</v>
      </c>
      <c r="B1574">
        <v>1</v>
      </c>
      <c r="C1574">
        <v>95</v>
      </c>
      <c r="D1574">
        <v>60</v>
      </c>
      <c r="E1574">
        <v>18</v>
      </c>
      <c r="F1574">
        <v>58</v>
      </c>
      <c r="G1574">
        <v>23.9</v>
      </c>
      <c r="H1574">
        <v>0.26</v>
      </c>
      <c r="I1574">
        <v>22</v>
      </c>
      <c r="J1574">
        <v>0</v>
      </c>
      <c r="K1574" t="str">
        <f t="shared" si="48"/>
        <v>Young</v>
      </c>
      <c r="L1574" t="str">
        <f t="shared" si="49"/>
        <v>Normal</v>
      </c>
    </row>
    <row r="1575" spans="1:12" x14ac:dyDescent="0.2">
      <c r="A1575">
        <v>1574</v>
      </c>
      <c r="B1575">
        <v>0</v>
      </c>
      <c r="C1575">
        <v>165</v>
      </c>
      <c r="D1575">
        <v>76</v>
      </c>
      <c r="E1575">
        <v>43</v>
      </c>
      <c r="F1575">
        <v>255</v>
      </c>
      <c r="G1575">
        <v>47.9</v>
      </c>
      <c r="H1575">
        <v>0.25900000000000001</v>
      </c>
      <c r="I1575">
        <v>26</v>
      </c>
      <c r="J1575">
        <v>0</v>
      </c>
      <c r="K1575" t="str">
        <f t="shared" si="48"/>
        <v>Young</v>
      </c>
      <c r="L1575" t="str">
        <f t="shared" si="49"/>
        <v>Obese</v>
      </c>
    </row>
    <row r="1576" spans="1:12" x14ac:dyDescent="0.2">
      <c r="A1576">
        <v>1575</v>
      </c>
      <c r="B1576">
        <v>0</v>
      </c>
      <c r="C1576">
        <v>117</v>
      </c>
      <c r="D1576">
        <v>121</v>
      </c>
      <c r="E1576">
        <v>0</v>
      </c>
      <c r="F1576">
        <v>0</v>
      </c>
      <c r="G1576">
        <v>33.799999999999997</v>
      </c>
      <c r="H1576">
        <v>0.93200000000000005</v>
      </c>
      <c r="I1576">
        <v>44</v>
      </c>
      <c r="J1576">
        <v>0</v>
      </c>
      <c r="K1576" t="str">
        <f t="shared" si="48"/>
        <v>Middle-Aged</v>
      </c>
      <c r="L1576" t="str">
        <f t="shared" si="49"/>
        <v>Obese</v>
      </c>
    </row>
    <row r="1577" spans="1:12" x14ac:dyDescent="0.2">
      <c r="A1577">
        <v>1576</v>
      </c>
      <c r="B1577">
        <v>5</v>
      </c>
      <c r="C1577">
        <v>115</v>
      </c>
      <c r="D1577">
        <v>76</v>
      </c>
      <c r="E1577">
        <v>0</v>
      </c>
      <c r="F1577">
        <v>0</v>
      </c>
      <c r="G1577">
        <v>31.2</v>
      </c>
      <c r="H1577">
        <v>0.34300000000000003</v>
      </c>
      <c r="I1577">
        <v>44</v>
      </c>
      <c r="J1577">
        <v>1</v>
      </c>
      <c r="K1577" t="str">
        <f t="shared" si="48"/>
        <v>Middle-Aged</v>
      </c>
      <c r="L1577" t="str">
        <f t="shared" si="49"/>
        <v>Obese</v>
      </c>
    </row>
    <row r="1578" spans="1:12" x14ac:dyDescent="0.2">
      <c r="A1578">
        <v>1577</v>
      </c>
      <c r="B1578">
        <v>9</v>
      </c>
      <c r="C1578">
        <v>152</v>
      </c>
      <c r="D1578">
        <v>78</v>
      </c>
      <c r="E1578">
        <v>34</v>
      </c>
      <c r="F1578">
        <v>171</v>
      </c>
      <c r="G1578">
        <v>34.200000000000003</v>
      </c>
      <c r="H1578">
        <v>0.89300000000000002</v>
      </c>
      <c r="I1578">
        <v>33</v>
      </c>
      <c r="J1578">
        <v>1</v>
      </c>
      <c r="K1578" t="str">
        <f t="shared" si="48"/>
        <v>Middle-Aged</v>
      </c>
      <c r="L1578" t="str">
        <f t="shared" si="49"/>
        <v>Obese</v>
      </c>
    </row>
    <row r="1579" spans="1:12" x14ac:dyDescent="0.2">
      <c r="A1579">
        <v>1578</v>
      </c>
      <c r="B1579">
        <v>7</v>
      </c>
      <c r="C1579">
        <v>178</v>
      </c>
      <c r="D1579">
        <v>84</v>
      </c>
      <c r="E1579">
        <v>0</v>
      </c>
      <c r="F1579">
        <v>0</v>
      </c>
      <c r="G1579">
        <v>39.9</v>
      </c>
      <c r="H1579">
        <v>0.33100000000000002</v>
      </c>
      <c r="I1579">
        <v>41</v>
      </c>
      <c r="J1579">
        <v>1</v>
      </c>
      <c r="K1579" t="str">
        <f t="shared" si="48"/>
        <v>Middle-Aged</v>
      </c>
      <c r="L1579" t="str">
        <f t="shared" si="49"/>
        <v>Obese</v>
      </c>
    </row>
    <row r="1580" spans="1:12" x14ac:dyDescent="0.2">
      <c r="A1580">
        <v>1579</v>
      </c>
      <c r="B1580">
        <v>1</v>
      </c>
      <c r="C1580">
        <v>130</v>
      </c>
      <c r="D1580">
        <v>70</v>
      </c>
      <c r="E1580">
        <v>13</v>
      </c>
      <c r="F1580">
        <v>105</v>
      </c>
      <c r="G1580">
        <v>25.9</v>
      </c>
      <c r="H1580">
        <v>0.47199999999999998</v>
      </c>
      <c r="I1580">
        <v>22</v>
      </c>
      <c r="J1580">
        <v>0</v>
      </c>
      <c r="K1580" t="str">
        <f t="shared" si="48"/>
        <v>Young</v>
      </c>
      <c r="L1580" t="str">
        <f t="shared" si="49"/>
        <v>Overweight</v>
      </c>
    </row>
    <row r="1581" spans="1:12" x14ac:dyDescent="0.2">
      <c r="A1581">
        <v>1580</v>
      </c>
      <c r="B1581">
        <v>1</v>
      </c>
      <c r="C1581">
        <v>95</v>
      </c>
      <c r="D1581">
        <v>74</v>
      </c>
      <c r="E1581">
        <v>21</v>
      </c>
      <c r="F1581">
        <v>73</v>
      </c>
      <c r="G1581">
        <v>25.9</v>
      </c>
      <c r="H1581">
        <v>0.67300000000000004</v>
      </c>
      <c r="I1581">
        <v>36</v>
      </c>
      <c r="J1581">
        <v>0</v>
      </c>
      <c r="K1581" t="str">
        <f t="shared" si="48"/>
        <v>Middle-Aged</v>
      </c>
      <c r="L1581" t="str">
        <f t="shared" si="49"/>
        <v>Overweight</v>
      </c>
    </row>
    <row r="1582" spans="1:12" x14ac:dyDescent="0.2">
      <c r="A1582">
        <v>1581</v>
      </c>
      <c r="B1582">
        <v>1</v>
      </c>
      <c r="C1582">
        <v>121</v>
      </c>
      <c r="D1582">
        <v>68</v>
      </c>
      <c r="E1582">
        <v>35</v>
      </c>
      <c r="F1582">
        <v>0</v>
      </c>
      <c r="G1582">
        <v>32</v>
      </c>
      <c r="H1582">
        <v>0.38900000000000001</v>
      </c>
      <c r="I1582">
        <v>22</v>
      </c>
      <c r="J1582">
        <v>0</v>
      </c>
      <c r="K1582" t="str">
        <f t="shared" si="48"/>
        <v>Young</v>
      </c>
      <c r="L1582" t="str">
        <f t="shared" si="49"/>
        <v>Obese</v>
      </c>
    </row>
    <row r="1583" spans="1:12" x14ac:dyDescent="0.2">
      <c r="A1583">
        <v>1582</v>
      </c>
      <c r="B1583">
        <v>5</v>
      </c>
      <c r="C1583">
        <v>122</v>
      </c>
      <c r="D1583">
        <v>86</v>
      </c>
      <c r="E1583">
        <v>0</v>
      </c>
      <c r="F1583">
        <v>0</v>
      </c>
      <c r="G1583">
        <v>34.700000000000003</v>
      </c>
      <c r="H1583">
        <v>0.28999999999999998</v>
      </c>
      <c r="I1583">
        <v>33</v>
      </c>
      <c r="J1583">
        <v>0</v>
      </c>
      <c r="K1583" t="str">
        <f t="shared" si="48"/>
        <v>Middle-Aged</v>
      </c>
      <c r="L1583" t="str">
        <f t="shared" si="49"/>
        <v>Obese</v>
      </c>
    </row>
    <row r="1584" spans="1:12" x14ac:dyDescent="0.2">
      <c r="A1584">
        <v>1583</v>
      </c>
      <c r="B1584">
        <v>8</v>
      </c>
      <c r="C1584">
        <v>95</v>
      </c>
      <c r="D1584">
        <v>72</v>
      </c>
      <c r="E1584">
        <v>0</v>
      </c>
      <c r="F1584">
        <v>0</v>
      </c>
      <c r="G1584">
        <v>36.799999999999997</v>
      </c>
      <c r="H1584">
        <v>0.48499999999999999</v>
      </c>
      <c r="I1584">
        <v>57</v>
      </c>
      <c r="J1584">
        <v>0</v>
      </c>
      <c r="K1584" t="str">
        <f t="shared" si="48"/>
        <v>Senior</v>
      </c>
      <c r="L1584" t="str">
        <f t="shared" si="49"/>
        <v>Obese</v>
      </c>
    </row>
    <row r="1585" spans="1:12" x14ac:dyDescent="0.2">
      <c r="A1585">
        <v>1584</v>
      </c>
      <c r="B1585">
        <v>8</v>
      </c>
      <c r="C1585">
        <v>126</v>
      </c>
      <c r="D1585">
        <v>88</v>
      </c>
      <c r="E1585">
        <v>36</v>
      </c>
      <c r="F1585">
        <v>108</v>
      </c>
      <c r="G1585">
        <v>38.5</v>
      </c>
      <c r="H1585">
        <v>0.34899999999999998</v>
      </c>
      <c r="I1585">
        <v>49</v>
      </c>
      <c r="J1585">
        <v>0</v>
      </c>
      <c r="K1585" t="str">
        <f t="shared" si="48"/>
        <v>Senior</v>
      </c>
      <c r="L1585" t="str">
        <f t="shared" si="49"/>
        <v>Obese</v>
      </c>
    </row>
    <row r="1586" spans="1:12" x14ac:dyDescent="0.2">
      <c r="A1586">
        <v>1585</v>
      </c>
      <c r="B1586">
        <v>1</v>
      </c>
      <c r="C1586">
        <v>139</v>
      </c>
      <c r="D1586">
        <v>46</v>
      </c>
      <c r="E1586">
        <v>19</v>
      </c>
      <c r="F1586">
        <v>83</v>
      </c>
      <c r="G1586">
        <v>28.7</v>
      </c>
      <c r="H1586">
        <v>0.65400000000000003</v>
      </c>
      <c r="I1586">
        <v>22</v>
      </c>
      <c r="J1586">
        <v>0</v>
      </c>
      <c r="K1586" t="str">
        <f t="shared" si="48"/>
        <v>Young</v>
      </c>
      <c r="L1586" t="str">
        <f t="shared" si="49"/>
        <v>Overweight</v>
      </c>
    </row>
    <row r="1587" spans="1:12" x14ac:dyDescent="0.2">
      <c r="A1587">
        <v>1586</v>
      </c>
      <c r="B1587">
        <v>3</v>
      </c>
      <c r="C1587">
        <v>116</v>
      </c>
      <c r="D1587">
        <v>121</v>
      </c>
      <c r="E1587">
        <v>0</v>
      </c>
      <c r="F1587">
        <v>0</v>
      </c>
      <c r="G1587">
        <v>23.5</v>
      </c>
      <c r="H1587">
        <v>0.187</v>
      </c>
      <c r="I1587">
        <v>23</v>
      </c>
      <c r="J1587">
        <v>0</v>
      </c>
      <c r="K1587" t="str">
        <f t="shared" si="48"/>
        <v>Young</v>
      </c>
      <c r="L1587" t="str">
        <f t="shared" si="49"/>
        <v>Normal</v>
      </c>
    </row>
    <row r="1588" spans="1:12" x14ac:dyDescent="0.2">
      <c r="A1588">
        <v>1587</v>
      </c>
      <c r="B1588">
        <v>3</v>
      </c>
      <c r="C1588">
        <v>99</v>
      </c>
      <c r="D1588">
        <v>62</v>
      </c>
      <c r="E1588">
        <v>19</v>
      </c>
      <c r="F1588">
        <v>74</v>
      </c>
      <c r="G1588">
        <v>21.8</v>
      </c>
      <c r="H1588">
        <v>0.27900000000000003</v>
      </c>
      <c r="I1588">
        <v>26</v>
      </c>
      <c r="J1588">
        <v>0</v>
      </c>
      <c r="K1588" t="str">
        <f t="shared" si="48"/>
        <v>Young</v>
      </c>
      <c r="L1588" t="str">
        <f t="shared" si="49"/>
        <v>Normal</v>
      </c>
    </row>
    <row r="1589" spans="1:12" x14ac:dyDescent="0.2">
      <c r="A1589">
        <v>1588</v>
      </c>
      <c r="B1589">
        <v>5</v>
      </c>
      <c r="C1589">
        <v>121</v>
      </c>
      <c r="D1589">
        <v>80</v>
      </c>
      <c r="E1589">
        <v>32</v>
      </c>
      <c r="F1589">
        <v>0</v>
      </c>
      <c r="G1589">
        <v>41</v>
      </c>
      <c r="H1589">
        <v>0.34599999999999997</v>
      </c>
      <c r="I1589">
        <v>37</v>
      </c>
      <c r="J1589">
        <v>1</v>
      </c>
      <c r="K1589" t="str">
        <f t="shared" si="48"/>
        <v>Middle-Aged</v>
      </c>
      <c r="L1589" t="str">
        <f t="shared" si="49"/>
        <v>Obese</v>
      </c>
    </row>
    <row r="1590" spans="1:12" x14ac:dyDescent="0.2">
      <c r="A1590">
        <v>1589</v>
      </c>
      <c r="B1590">
        <v>4</v>
      </c>
      <c r="C1590">
        <v>92</v>
      </c>
      <c r="D1590">
        <v>80</v>
      </c>
      <c r="E1590">
        <v>0</v>
      </c>
      <c r="F1590">
        <v>0</v>
      </c>
      <c r="G1590">
        <v>42.2</v>
      </c>
      <c r="H1590">
        <v>0.23699999999999999</v>
      </c>
      <c r="I1590">
        <v>29</v>
      </c>
      <c r="J1590">
        <v>0</v>
      </c>
      <c r="K1590" t="str">
        <f t="shared" si="48"/>
        <v>Young</v>
      </c>
      <c r="L1590" t="str">
        <f t="shared" si="49"/>
        <v>Obese</v>
      </c>
    </row>
    <row r="1591" spans="1:12" x14ac:dyDescent="0.2">
      <c r="A1591">
        <v>1590</v>
      </c>
      <c r="B1591">
        <v>4</v>
      </c>
      <c r="C1591">
        <v>137</v>
      </c>
      <c r="D1591">
        <v>84</v>
      </c>
      <c r="E1591">
        <v>0</v>
      </c>
      <c r="F1591">
        <v>0</v>
      </c>
      <c r="G1591">
        <v>31.2</v>
      </c>
      <c r="H1591">
        <v>0.252</v>
      </c>
      <c r="I1591">
        <v>30</v>
      </c>
      <c r="J1591">
        <v>0</v>
      </c>
      <c r="K1591" t="str">
        <f t="shared" si="48"/>
        <v>Middle-Aged</v>
      </c>
      <c r="L1591" t="str">
        <f t="shared" si="49"/>
        <v>Obese</v>
      </c>
    </row>
    <row r="1592" spans="1:12" x14ac:dyDescent="0.2">
      <c r="A1592">
        <v>1591</v>
      </c>
      <c r="B1592">
        <v>3</v>
      </c>
      <c r="C1592">
        <v>61</v>
      </c>
      <c r="D1592">
        <v>82</v>
      </c>
      <c r="E1592">
        <v>28</v>
      </c>
      <c r="F1592">
        <v>0</v>
      </c>
      <c r="G1592">
        <v>34.4</v>
      </c>
      <c r="H1592">
        <v>0.24299999999999999</v>
      </c>
      <c r="I1592">
        <v>46</v>
      </c>
      <c r="J1592">
        <v>0</v>
      </c>
      <c r="K1592" t="str">
        <f t="shared" si="48"/>
        <v>Senior</v>
      </c>
      <c r="L1592" t="str">
        <f t="shared" si="49"/>
        <v>Obese</v>
      </c>
    </row>
    <row r="1593" spans="1:12" x14ac:dyDescent="0.2">
      <c r="A1593">
        <v>1592</v>
      </c>
      <c r="B1593">
        <v>1</v>
      </c>
      <c r="C1593">
        <v>90</v>
      </c>
      <c r="D1593">
        <v>62</v>
      </c>
      <c r="E1593">
        <v>12</v>
      </c>
      <c r="F1593">
        <v>43</v>
      </c>
      <c r="G1593">
        <v>27.2</v>
      </c>
      <c r="H1593">
        <v>0.57999999999999996</v>
      </c>
      <c r="I1593">
        <v>24</v>
      </c>
      <c r="J1593">
        <v>0</v>
      </c>
      <c r="K1593" t="str">
        <f t="shared" si="48"/>
        <v>Young</v>
      </c>
      <c r="L1593" t="str">
        <f t="shared" si="49"/>
        <v>Overweight</v>
      </c>
    </row>
    <row r="1594" spans="1:12" x14ac:dyDescent="0.2">
      <c r="A1594">
        <v>1593</v>
      </c>
      <c r="B1594">
        <v>3</v>
      </c>
      <c r="C1594">
        <v>90</v>
      </c>
      <c r="D1594">
        <v>78</v>
      </c>
      <c r="E1594">
        <v>0</v>
      </c>
      <c r="F1594">
        <v>0</v>
      </c>
      <c r="G1594">
        <v>42.7</v>
      </c>
      <c r="H1594">
        <v>0.55900000000000005</v>
      </c>
      <c r="I1594">
        <v>21</v>
      </c>
      <c r="J1594">
        <v>0</v>
      </c>
      <c r="K1594" t="str">
        <f t="shared" si="48"/>
        <v>Young</v>
      </c>
      <c r="L1594" t="str">
        <f t="shared" si="49"/>
        <v>Obese</v>
      </c>
    </row>
    <row r="1595" spans="1:12" x14ac:dyDescent="0.2">
      <c r="A1595">
        <v>1594</v>
      </c>
      <c r="B1595">
        <v>9</v>
      </c>
      <c r="C1595">
        <v>165</v>
      </c>
      <c r="D1595">
        <v>88</v>
      </c>
      <c r="E1595">
        <v>0</v>
      </c>
      <c r="F1595">
        <v>0</v>
      </c>
      <c r="G1595">
        <v>30.4</v>
      </c>
      <c r="H1595">
        <v>0.30199999999999999</v>
      </c>
      <c r="I1595">
        <v>49</v>
      </c>
      <c r="J1595">
        <v>1</v>
      </c>
      <c r="K1595" t="str">
        <f t="shared" si="48"/>
        <v>Senior</v>
      </c>
      <c r="L1595" t="str">
        <f t="shared" si="49"/>
        <v>Obese</v>
      </c>
    </row>
    <row r="1596" spans="1:12" x14ac:dyDescent="0.2">
      <c r="A1596">
        <v>1595</v>
      </c>
      <c r="B1596">
        <v>1</v>
      </c>
      <c r="C1596">
        <v>125</v>
      </c>
      <c r="D1596">
        <v>50</v>
      </c>
      <c r="E1596">
        <v>40</v>
      </c>
      <c r="F1596">
        <v>167</v>
      </c>
      <c r="G1596">
        <v>33.299999999999997</v>
      </c>
      <c r="H1596">
        <v>0.96199999999999997</v>
      </c>
      <c r="I1596">
        <v>28</v>
      </c>
      <c r="J1596">
        <v>1</v>
      </c>
      <c r="K1596" t="str">
        <f t="shared" si="48"/>
        <v>Young</v>
      </c>
      <c r="L1596" t="str">
        <f t="shared" si="49"/>
        <v>Obese</v>
      </c>
    </row>
    <row r="1597" spans="1:12" x14ac:dyDescent="0.2">
      <c r="A1597">
        <v>1596</v>
      </c>
      <c r="B1597">
        <v>13</v>
      </c>
      <c r="C1597">
        <v>129</v>
      </c>
      <c r="D1597">
        <v>121</v>
      </c>
      <c r="E1597">
        <v>30</v>
      </c>
      <c r="F1597">
        <v>0</v>
      </c>
      <c r="G1597">
        <v>39.9</v>
      </c>
      <c r="H1597">
        <v>0.56899999999999995</v>
      </c>
      <c r="I1597">
        <v>44</v>
      </c>
      <c r="J1597">
        <v>1</v>
      </c>
      <c r="K1597" t="str">
        <f t="shared" si="48"/>
        <v>Middle-Aged</v>
      </c>
      <c r="L1597" t="str">
        <f t="shared" si="49"/>
        <v>Obese</v>
      </c>
    </row>
    <row r="1598" spans="1:12" x14ac:dyDescent="0.2">
      <c r="A1598">
        <v>1597</v>
      </c>
      <c r="B1598">
        <v>12</v>
      </c>
      <c r="C1598">
        <v>88</v>
      </c>
      <c r="D1598">
        <v>74</v>
      </c>
      <c r="E1598">
        <v>40</v>
      </c>
      <c r="F1598">
        <v>54</v>
      </c>
      <c r="G1598">
        <v>35.299999999999997</v>
      </c>
      <c r="H1598">
        <v>0.378</v>
      </c>
      <c r="I1598">
        <v>48</v>
      </c>
      <c r="J1598">
        <v>0</v>
      </c>
      <c r="K1598" t="str">
        <f t="shared" si="48"/>
        <v>Senior</v>
      </c>
      <c r="L1598" t="str">
        <f t="shared" si="49"/>
        <v>Obese</v>
      </c>
    </row>
    <row r="1599" spans="1:12" x14ac:dyDescent="0.2">
      <c r="A1599">
        <v>1598</v>
      </c>
      <c r="B1599">
        <v>1</v>
      </c>
      <c r="C1599">
        <v>196</v>
      </c>
      <c r="D1599">
        <v>76</v>
      </c>
      <c r="E1599">
        <v>36</v>
      </c>
      <c r="F1599">
        <v>249</v>
      </c>
      <c r="G1599">
        <v>36.5</v>
      </c>
      <c r="H1599">
        <v>0.875</v>
      </c>
      <c r="I1599">
        <v>29</v>
      </c>
      <c r="J1599">
        <v>1</v>
      </c>
      <c r="K1599" t="str">
        <f t="shared" si="48"/>
        <v>Young</v>
      </c>
      <c r="L1599" t="str">
        <f t="shared" si="49"/>
        <v>Obese</v>
      </c>
    </row>
    <row r="1600" spans="1:12" x14ac:dyDescent="0.2">
      <c r="A1600">
        <v>1599</v>
      </c>
      <c r="B1600">
        <v>5</v>
      </c>
      <c r="C1600">
        <v>189</v>
      </c>
      <c r="D1600">
        <v>64</v>
      </c>
      <c r="E1600">
        <v>33</v>
      </c>
      <c r="F1600">
        <v>325</v>
      </c>
      <c r="G1600">
        <v>31.2</v>
      </c>
      <c r="H1600">
        <v>0.58299999999999996</v>
      </c>
      <c r="I1600">
        <v>29</v>
      </c>
      <c r="J1600">
        <v>1</v>
      </c>
      <c r="K1600" t="str">
        <f t="shared" si="48"/>
        <v>Young</v>
      </c>
      <c r="L1600" t="str">
        <f t="shared" si="49"/>
        <v>Obese</v>
      </c>
    </row>
    <row r="1601" spans="1:12" x14ac:dyDescent="0.2">
      <c r="A1601">
        <v>1600</v>
      </c>
      <c r="B1601">
        <v>5</v>
      </c>
      <c r="C1601">
        <v>158</v>
      </c>
      <c r="D1601">
        <v>70</v>
      </c>
      <c r="E1601">
        <v>0</v>
      </c>
      <c r="F1601">
        <v>0</v>
      </c>
      <c r="G1601">
        <v>29.8</v>
      </c>
      <c r="H1601">
        <v>0.20699999999999999</v>
      </c>
      <c r="I1601">
        <v>63</v>
      </c>
      <c r="J1601">
        <v>0</v>
      </c>
      <c r="K1601" t="str">
        <f t="shared" si="48"/>
        <v>Senior</v>
      </c>
      <c r="L1601" t="str">
        <f t="shared" si="49"/>
        <v>Overweight</v>
      </c>
    </row>
    <row r="1602" spans="1:12" x14ac:dyDescent="0.2">
      <c r="A1602">
        <v>1601</v>
      </c>
      <c r="B1602">
        <v>5</v>
      </c>
      <c r="C1602">
        <v>103</v>
      </c>
      <c r="D1602">
        <v>108</v>
      </c>
      <c r="E1602">
        <v>37</v>
      </c>
      <c r="F1602">
        <v>0</v>
      </c>
      <c r="G1602">
        <v>39.200000000000003</v>
      </c>
      <c r="H1602">
        <v>0.30499999999999999</v>
      </c>
      <c r="I1602">
        <v>65</v>
      </c>
      <c r="J1602">
        <v>0</v>
      </c>
      <c r="K1602" t="str">
        <f t="shared" si="48"/>
        <v>Senior</v>
      </c>
      <c r="L1602" t="str">
        <f t="shared" si="49"/>
        <v>Obese</v>
      </c>
    </row>
    <row r="1603" spans="1:12" x14ac:dyDescent="0.2">
      <c r="A1603">
        <v>1602</v>
      </c>
      <c r="B1603">
        <v>4</v>
      </c>
      <c r="C1603">
        <v>146</v>
      </c>
      <c r="D1603">
        <v>78</v>
      </c>
      <c r="E1603">
        <v>0</v>
      </c>
      <c r="F1603">
        <v>0</v>
      </c>
      <c r="G1603">
        <v>38.5</v>
      </c>
      <c r="H1603">
        <v>0.52</v>
      </c>
      <c r="I1603">
        <v>67</v>
      </c>
      <c r="J1603">
        <v>1</v>
      </c>
      <c r="K1603" t="str">
        <f t="shared" ref="K1603:K1666" si="50">IF(I1603&lt;30, "Young", IF( I1603&lt;45, "Middle-Aged", "Senior"))</f>
        <v>Senior</v>
      </c>
      <c r="L1603" t="str">
        <f t="shared" ref="L1603:L1666" si="51">IF(G1603&lt;18.5, "Underweight", IF(G1603&lt;25, "Normal", IF(G1603&lt;30, "Overweight", "Obese")))</f>
        <v>Obese</v>
      </c>
    </row>
    <row r="1604" spans="1:12" x14ac:dyDescent="0.2">
      <c r="A1604">
        <v>1603</v>
      </c>
      <c r="B1604">
        <v>4</v>
      </c>
      <c r="C1604">
        <v>147</v>
      </c>
      <c r="D1604">
        <v>74</v>
      </c>
      <c r="E1604">
        <v>25</v>
      </c>
      <c r="F1604">
        <v>293</v>
      </c>
      <c r="G1604">
        <v>34.9</v>
      </c>
      <c r="H1604">
        <v>0.38500000000000001</v>
      </c>
      <c r="I1604">
        <v>30</v>
      </c>
      <c r="J1604">
        <v>0</v>
      </c>
      <c r="K1604" t="str">
        <f t="shared" si="50"/>
        <v>Middle-Aged</v>
      </c>
      <c r="L1604" t="str">
        <f t="shared" si="51"/>
        <v>Obese</v>
      </c>
    </row>
    <row r="1605" spans="1:12" x14ac:dyDescent="0.2">
      <c r="A1605">
        <v>1604</v>
      </c>
      <c r="B1605">
        <v>5</v>
      </c>
      <c r="C1605">
        <v>99</v>
      </c>
      <c r="D1605">
        <v>54</v>
      </c>
      <c r="E1605">
        <v>28</v>
      </c>
      <c r="F1605">
        <v>83</v>
      </c>
      <c r="G1605">
        <v>34</v>
      </c>
      <c r="H1605">
        <v>0.499</v>
      </c>
      <c r="I1605">
        <v>30</v>
      </c>
      <c r="J1605">
        <v>0</v>
      </c>
      <c r="K1605" t="str">
        <f t="shared" si="50"/>
        <v>Middle-Aged</v>
      </c>
      <c r="L1605" t="str">
        <f t="shared" si="51"/>
        <v>Obese</v>
      </c>
    </row>
    <row r="1606" spans="1:12" x14ac:dyDescent="0.2">
      <c r="A1606">
        <v>1605</v>
      </c>
      <c r="B1606">
        <v>6</v>
      </c>
      <c r="C1606">
        <v>124</v>
      </c>
      <c r="D1606">
        <v>72</v>
      </c>
      <c r="E1606">
        <v>0</v>
      </c>
      <c r="F1606">
        <v>0</v>
      </c>
      <c r="G1606">
        <v>27.6</v>
      </c>
      <c r="H1606">
        <v>0.36799999999999999</v>
      </c>
      <c r="I1606">
        <v>29</v>
      </c>
      <c r="J1606">
        <v>1</v>
      </c>
      <c r="K1606" t="str">
        <f t="shared" si="50"/>
        <v>Young</v>
      </c>
      <c r="L1606" t="str">
        <f t="shared" si="51"/>
        <v>Overweight</v>
      </c>
    </row>
    <row r="1607" spans="1:12" x14ac:dyDescent="0.2">
      <c r="A1607">
        <v>1606</v>
      </c>
      <c r="B1607">
        <v>0</v>
      </c>
      <c r="C1607">
        <v>101</v>
      </c>
      <c r="D1607">
        <v>64</v>
      </c>
      <c r="E1607">
        <v>17</v>
      </c>
      <c r="F1607">
        <v>0</v>
      </c>
      <c r="G1607">
        <v>21</v>
      </c>
      <c r="H1607">
        <v>0.252</v>
      </c>
      <c r="I1607">
        <v>21</v>
      </c>
      <c r="J1607">
        <v>0</v>
      </c>
      <c r="K1607" t="str">
        <f t="shared" si="50"/>
        <v>Young</v>
      </c>
      <c r="L1607" t="str">
        <f t="shared" si="51"/>
        <v>Normal</v>
      </c>
    </row>
    <row r="1608" spans="1:12" x14ac:dyDescent="0.2">
      <c r="A1608">
        <v>1607</v>
      </c>
      <c r="B1608">
        <v>3</v>
      </c>
      <c r="C1608">
        <v>81</v>
      </c>
      <c r="D1608">
        <v>86</v>
      </c>
      <c r="E1608">
        <v>16</v>
      </c>
      <c r="F1608">
        <v>66</v>
      </c>
      <c r="G1608">
        <v>27.5</v>
      </c>
      <c r="H1608">
        <v>0.30599999999999999</v>
      </c>
      <c r="I1608">
        <v>22</v>
      </c>
      <c r="J1608">
        <v>0</v>
      </c>
      <c r="K1608" t="str">
        <f t="shared" si="50"/>
        <v>Young</v>
      </c>
      <c r="L1608" t="str">
        <f t="shared" si="51"/>
        <v>Overweight</v>
      </c>
    </row>
    <row r="1609" spans="1:12" x14ac:dyDescent="0.2">
      <c r="A1609">
        <v>1608</v>
      </c>
      <c r="B1609">
        <v>1</v>
      </c>
      <c r="C1609">
        <v>133</v>
      </c>
      <c r="D1609">
        <v>102</v>
      </c>
      <c r="E1609">
        <v>28</v>
      </c>
      <c r="F1609">
        <v>140</v>
      </c>
      <c r="G1609">
        <v>32.799999999999997</v>
      </c>
      <c r="H1609">
        <v>0.23400000000000001</v>
      </c>
      <c r="I1609">
        <v>45</v>
      </c>
      <c r="J1609">
        <v>1</v>
      </c>
      <c r="K1609" t="str">
        <f t="shared" si="50"/>
        <v>Senior</v>
      </c>
      <c r="L1609" t="str">
        <f t="shared" si="51"/>
        <v>Obese</v>
      </c>
    </row>
    <row r="1610" spans="1:12" x14ac:dyDescent="0.2">
      <c r="A1610">
        <v>1609</v>
      </c>
      <c r="B1610">
        <v>3</v>
      </c>
      <c r="C1610">
        <v>173</v>
      </c>
      <c r="D1610">
        <v>82</v>
      </c>
      <c r="E1610">
        <v>48</v>
      </c>
      <c r="F1610">
        <v>465</v>
      </c>
      <c r="G1610">
        <v>38.4</v>
      </c>
      <c r="H1610">
        <v>2.137</v>
      </c>
      <c r="I1610">
        <v>25</v>
      </c>
      <c r="J1610">
        <v>1</v>
      </c>
      <c r="K1610" t="str">
        <f t="shared" si="50"/>
        <v>Young</v>
      </c>
      <c r="L1610" t="str">
        <f t="shared" si="51"/>
        <v>Obese</v>
      </c>
    </row>
    <row r="1611" spans="1:12" x14ac:dyDescent="0.2">
      <c r="A1611">
        <v>1610</v>
      </c>
      <c r="B1611">
        <v>0</v>
      </c>
      <c r="C1611">
        <v>118</v>
      </c>
      <c r="D1611">
        <v>64</v>
      </c>
      <c r="E1611">
        <v>23</v>
      </c>
      <c r="F1611">
        <v>89</v>
      </c>
      <c r="G1611">
        <v>121</v>
      </c>
      <c r="H1611">
        <v>1.7310000000000001</v>
      </c>
      <c r="I1611">
        <v>21</v>
      </c>
      <c r="J1611">
        <v>0</v>
      </c>
      <c r="K1611" t="str">
        <f t="shared" si="50"/>
        <v>Young</v>
      </c>
      <c r="L1611" t="str">
        <f t="shared" si="51"/>
        <v>Obese</v>
      </c>
    </row>
    <row r="1612" spans="1:12" x14ac:dyDescent="0.2">
      <c r="A1612">
        <v>1611</v>
      </c>
      <c r="B1612">
        <v>0</v>
      </c>
      <c r="C1612">
        <v>84</v>
      </c>
      <c r="D1612">
        <v>64</v>
      </c>
      <c r="E1612">
        <v>22</v>
      </c>
      <c r="F1612">
        <v>66</v>
      </c>
      <c r="G1612">
        <v>35.799999999999997</v>
      </c>
      <c r="H1612">
        <v>0.54500000000000004</v>
      </c>
      <c r="I1612">
        <v>21</v>
      </c>
      <c r="J1612">
        <v>0</v>
      </c>
      <c r="K1612" t="str">
        <f t="shared" si="50"/>
        <v>Young</v>
      </c>
      <c r="L1612" t="str">
        <f t="shared" si="51"/>
        <v>Obese</v>
      </c>
    </row>
    <row r="1613" spans="1:12" x14ac:dyDescent="0.2">
      <c r="A1613">
        <v>1612</v>
      </c>
      <c r="B1613">
        <v>2</v>
      </c>
      <c r="C1613">
        <v>105</v>
      </c>
      <c r="D1613">
        <v>58</v>
      </c>
      <c r="E1613">
        <v>40</v>
      </c>
      <c r="F1613">
        <v>94</v>
      </c>
      <c r="G1613">
        <v>34.9</v>
      </c>
      <c r="H1613">
        <v>0.22500000000000001</v>
      </c>
      <c r="I1613">
        <v>25</v>
      </c>
      <c r="J1613">
        <v>0</v>
      </c>
      <c r="K1613" t="str">
        <f t="shared" si="50"/>
        <v>Young</v>
      </c>
      <c r="L1613" t="str">
        <f t="shared" si="51"/>
        <v>Obese</v>
      </c>
    </row>
    <row r="1614" spans="1:12" x14ac:dyDescent="0.2">
      <c r="A1614">
        <v>1613</v>
      </c>
      <c r="B1614">
        <v>2</v>
      </c>
      <c r="C1614">
        <v>122</v>
      </c>
      <c r="D1614">
        <v>52</v>
      </c>
      <c r="E1614">
        <v>43</v>
      </c>
      <c r="F1614">
        <v>158</v>
      </c>
      <c r="G1614">
        <v>36.200000000000003</v>
      </c>
      <c r="H1614">
        <v>0.81599999999999995</v>
      </c>
      <c r="I1614">
        <v>28</v>
      </c>
      <c r="J1614">
        <v>0</v>
      </c>
      <c r="K1614" t="str">
        <f t="shared" si="50"/>
        <v>Young</v>
      </c>
      <c r="L1614" t="str">
        <f t="shared" si="51"/>
        <v>Obese</v>
      </c>
    </row>
    <row r="1615" spans="1:12" x14ac:dyDescent="0.2">
      <c r="A1615">
        <v>1614</v>
      </c>
      <c r="B1615">
        <v>12</v>
      </c>
      <c r="C1615">
        <v>140</v>
      </c>
      <c r="D1615">
        <v>82</v>
      </c>
      <c r="E1615">
        <v>43</v>
      </c>
      <c r="F1615">
        <v>325</v>
      </c>
      <c r="G1615">
        <v>39.200000000000003</v>
      </c>
      <c r="H1615">
        <v>0.52800000000000002</v>
      </c>
      <c r="I1615">
        <v>58</v>
      </c>
      <c r="J1615">
        <v>1</v>
      </c>
      <c r="K1615" t="str">
        <f t="shared" si="50"/>
        <v>Senior</v>
      </c>
      <c r="L1615" t="str">
        <f t="shared" si="51"/>
        <v>Obese</v>
      </c>
    </row>
    <row r="1616" spans="1:12" x14ac:dyDescent="0.2">
      <c r="A1616">
        <v>1615</v>
      </c>
      <c r="B1616">
        <v>0</v>
      </c>
      <c r="C1616">
        <v>98</v>
      </c>
      <c r="D1616">
        <v>82</v>
      </c>
      <c r="E1616">
        <v>15</v>
      </c>
      <c r="F1616">
        <v>84</v>
      </c>
      <c r="G1616">
        <v>25.2</v>
      </c>
      <c r="H1616">
        <v>0.29899999999999999</v>
      </c>
      <c r="I1616">
        <v>22</v>
      </c>
      <c r="J1616">
        <v>0</v>
      </c>
      <c r="K1616" t="str">
        <f t="shared" si="50"/>
        <v>Young</v>
      </c>
      <c r="L1616" t="str">
        <f t="shared" si="51"/>
        <v>Overweight</v>
      </c>
    </row>
    <row r="1617" spans="1:12" x14ac:dyDescent="0.2">
      <c r="A1617">
        <v>1616</v>
      </c>
      <c r="B1617">
        <v>1</v>
      </c>
      <c r="C1617">
        <v>87</v>
      </c>
      <c r="D1617">
        <v>60</v>
      </c>
      <c r="E1617">
        <v>37</v>
      </c>
      <c r="F1617">
        <v>75</v>
      </c>
      <c r="G1617">
        <v>37.200000000000003</v>
      </c>
      <c r="H1617">
        <v>0.50900000000000001</v>
      </c>
      <c r="I1617">
        <v>22</v>
      </c>
      <c r="J1617">
        <v>0</v>
      </c>
      <c r="K1617" t="str">
        <f t="shared" si="50"/>
        <v>Young</v>
      </c>
      <c r="L1617" t="str">
        <f t="shared" si="51"/>
        <v>Obese</v>
      </c>
    </row>
    <row r="1618" spans="1:12" x14ac:dyDescent="0.2">
      <c r="A1618">
        <v>1617</v>
      </c>
      <c r="B1618">
        <v>4</v>
      </c>
      <c r="C1618">
        <v>156</v>
      </c>
      <c r="D1618">
        <v>75</v>
      </c>
      <c r="E1618">
        <v>0</v>
      </c>
      <c r="F1618">
        <v>0</v>
      </c>
      <c r="G1618">
        <v>48.3</v>
      </c>
      <c r="H1618">
        <v>0.23799999999999999</v>
      </c>
      <c r="I1618">
        <v>32</v>
      </c>
      <c r="J1618">
        <v>1</v>
      </c>
      <c r="K1618" t="str">
        <f t="shared" si="50"/>
        <v>Middle-Aged</v>
      </c>
      <c r="L1618" t="str">
        <f t="shared" si="51"/>
        <v>Obese</v>
      </c>
    </row>
    <row r="1619" spans="1:12" x14ac:dyDescent="0.2">
      <c r="A1619">
        <v>1618</v>
      </c>
      <c r="B1619">
        <v>0</v>
      </c>
      <c r="C1619">
        <v>93</v>
      </c>
      <c r="D1619">
        <v>100</v>
      </c>
      <c r="E1619">
        <v>39</v>
      </c>
      <c r="F1619">
        <v>72</v>
      </c>
      <c r="G1619">
        <v>43.4</v>
      </c>
      <c r="H1619">
        <v>1.0209999999999999</v>
      </c>
      <c r="I1619">
        <v>35</v>
      </c>
      <c r="J1619">
        <v>0</v>
      </c>
      <c r="K1619" t="str">
        <f t="shared" si="50"/>
        <v>Middle-Aged</v>
      </c>
      <c r="L1619" t="str">
        <f t="shared" si="51"/>
        <v>Obese</v>
      </c>
    </row>
    <row r="1620" spans="1:12" x14ac:dyDescent="0.2">
      <c r="A1620">
        <v>1619</v>
      </c>
      <c r="B1620">
        <v>1</v>
      </c>
      <c r="C1620">
        <v>107</v>
      </c>
      <c r="D1620">
        <v>72</v>
      </c>
      <c r="E1620">
        <v>30</v>
      </c>
      <c r="F1620">
        <v>82</v>
      </c>
      <c r="G1620">
        <v>30.8</v>
      </c>
      <c r="H1620">
        <v>0.82099999999999995</v>
      </c>
      <c r="I1620">
        <v>24</v>
      </c>
      <c r="J1620">
        <v>0</v>
      </c>
      <c r="K1620" t="str">
        <f t="shared" si="50"/>
        <v>Young</v>
      </c>
      <c r="L1620" t="str">
        <f t="shared" si="51"/>
        <v>Obese</v>
      </c>
    </row>
    <row r="1621" spans="1:12" x14ac:dyDescent="0.2">
      <c r="A1621">
        <v>1620</v>
      </c>
      <c r="B1621">
        <v>0</v>
      </c>
      <c r="C1621">
        <v>105</v>
      </c>
      <c r="D1621">
        <v>68</v>
      </c>
      <c r="E1621">
        <v>22</v>
      </c>
      <c r="F1621">
        <v>0</v>
      </c>
      <c r="G1621">
        <v>20</v>
      </c>
      <c r="H1621">
        <v>0.23599999999999999</v>
      </c>
      <c r="I1621">
        <v>22</v>
      </c>
      <c r="J1621">
        <v>0</v>
      </c>
      <c r="K1621" t="str">
        <f t="shared" si="50"/>
        <v>Young</v>
      </c>
      <c r="L1621" t="str">
        <f t="shared" si="51"/>
        <v>Normal</v>
      </c>
    </row>
    <row r="1622" spans="1:12" x14ac:dyDescent="0.2">
      <c r="A1622">
        <v>1621</v>
      </c>
      <c r="B1622">
        <v>1</v>
      </c>
      <c r="C1622">
        <v>109</v>
      </c>
      <c r="D1622">
        <v>60</v>
      </c>
      <c r="E1622">
        <v>8</v>
      </c>
      <c r="F1622">
        <v>182</v>
      </c>
      <c r="G1622">
        <v>25.4</v>
      </c>
      <c r="H1622">
        <v>0.94699999999999995</v>
      </c>
      <c r="I1622">
        <v>21</v>
      </c>
      <c r="J1622">
        <v>0</v>
      </c>
      <c r="K1622" t="str">
        <f t="shared" si="50"/>
        <v>Young</v>
      </c>
      <c r="L1622" t="str">
        <f t="shared" si="51"/>
        <v>Overweight</v>
      </c>
    </row>
    <row r="1623" spans="1:12" x14ac:dyDescent="0.2">
      <c r="A1623">
        <v>1622</v>
      </c>
      <c r="B1623">
        <v>1</v>
      </c>
      <c r="C1623">
        <v>90</v>
      </c>
      <c r="D1623">
        <v>62</v>
      </c>
      <c r="E1623">
        <v>18</v>
      </c>
      <c r="F1623">
        <v>59</v>
      </c>
      <c r="G1623">
        <v>25.1</v>
      </c>
      <c r="H1623">
        <v>1.268</v>
      </c>
      <c r="I1623">
        <v>25</v>
      </c>
      <c r="J1623">
        <v>0</v>
      </c>
      <c r="K1623" t="str">
        <f t="shared" si="50"/>
        <v>Young</v>
      </c>
      <c r="L1623" t="str">
        <f t="shared" si="51"/>
        <v>Overweight</v>
      </c>
    </row>
    <row r="1624" spans="1:12" x14ac:dyDescent="0.2">
      <c r="A1624">
        <v>1623</v>
      </c>
      <c r="B1624">
        <v>1</v>
      </c>
      <c r="C1624">
        <v>125</v>
      </c>
      <c r="D1624">
        <v>70</v>
      </c>
      <c r="E1624">
        <v>24</v>
      </c>
      <c r="F1624">
        <v>110</v>
      </c>
      <c r="G1624">
        <v>24.3</v>
      </c>
      <c r="H1624">
        <v>0.221</v>
      </c>
      <c r="I1624">
        <v>25</v>
      </c>
      <c r="J1624">
        <v>0</v>
      </c>
      <c r="K1624" t="str">
        <f t="shared" si="50"/>
        <v>Young</v>
      </c>
      <c r="L1624" t="str">
        <f t="shared" si="51"/>
        <v>Normal</v>
      </c>
    </row>
    <row r="1625" spans="1:12" x14ac:dyDescent="0.2">
      <c r="A1625">
        <v>1624</v>
      </c>
      <c r="B1625">
        <v>1</v>
      </c>
      <c r="C1625">
        <v>119</v>
      </c>
      <c r="D1625">
        <v>54</v>
      </c>
      <c r="E1625">
        <v>13</v>
      </c>
      <c r="F1625">
        <v>50</v>
      </c>
      <c r="G1625">
        <v>22.3</v>
      </c>
      <c r="H1625">
        <v>0.20499999999999999</v>
      </c>
      <c r="I1625">
        <v>24</v>
      </c>
      <c r="J1625">
        <v>0</v>
      </c>
      <c r="K1625" t="str">
        <f t="shared" si="50"/>
        <v>Young</v>
      </c>
      <c r="L1625" t="str">
        <f t="shared" si="51"/>
        <v>Normal</v>
      </c>
    </row>
    <row r="1626" spans="1:12" x14ac:dyDescent="0.2">
      <c r="A1626">
        <v>1625</v>
      </c>
      <c r="B1626">
        <v>5</v>
      </c>
      <c r="C1626">
        <v>116</v>
      </c>
      <c r="D1626">
        <v>74</v>
      </c>
      <c r="E1626">
        <v>29</v>
      </c>
      <c r="F1626">
        <v>0</v>
      </c>
      <c r="G1626">
        <v>32.299999999999997</v>
      </c>
      <c r="H1626">
        <v>0.66</v>
      </c>
      <c r="I1626">
        <v>35</v>
      </c>
      <c r="J1626">
        <v>1</v>
      </c>
      <c r="K1626" t="str">
        <f t="shared" si="50"/>
        <v>Middle-Aged</v>
      </c>
      <c r="L1626" t="str">
        <f t="shared" si="51"/>
        <v>Obese</v>
      </c>
    </row>
    <row r="1627" spans="1:12" x14ac:dyDescent="0.2">
      <c r="A1627">
        <v>1626</v>
      </c>
      <c r="B1627">
        <v>8</v>
      </c>
      <c r="C1627">
        <v>105</v>
      </c>
      <c r="D1627">
        <v>100</v>
      </c>
      <c r="E1627">
        <v>36</v>
      </c>
      <c r="F1627">
        <v>0</v>
      </c>
      <c r="G1627">
        <v>43.3</v>
      </c>
      <c r="H1627">
        <v>0.23899999999999999</v>
      </c>
      <c r="I1627">
        <v>45</v>
      </c>
      <c r="J1627">
        <v>1</v>
      </c>
      <c r="K1627" t="str">
        <f t="shared" si="50"/>
        <v>Senior</v>
      </c>
      <c r="L1627" t="str">
        <f t="shared" si="51"/>
        <v>Obese</v>
      </c>
    </row>
    <row r="1628" spans="1:12" x14ac:dyDescent="0.2">
      <c r="A1628">
        <v>1627</v>
      </c>
      <c r="B1628">
        <v>5</v>
      </c>
      <c r="C1628">
        <v>144</v>
      </c>
      <c r="D1628">
        <v>82</v>
      </c>
      <c r="E1628">
        <v>26</v>
      </c>
      <c r="F1628">
        <v>285</v>
      </c>
      <c r="G1628">
        <v>32</v>
      </c>
      <c r="H1628">
        <v>0.45200000000000001</v>
      </c>
      <c r="I1628">
        <v>58</v>
      </c>
      <c r="J1628">
        <v>1</v>
      </c>
      <c r="K1628" t="str">
        <f t="shared" si="50"/>
        <v>Senior</v>
      </c>
      <c r="L1628" t="str">
        <f t="shared" si="51"/>
        <v>Obese</v>
      </c>
    </row>
    <row r="1629" spans="1:12" x14ac:dyDescent="0.2">
      <c r="A1629">
        <v>1628</v>
      </c>
      <c r="B1629">
        <v>3</v>
      </c>
      <c r="C1629">
        <v>100</v>
      </c>
      <c r="D1629">
        <v>68</v>
      </c>
      <c r="E1629">
        <v>23</v>
      </c>
      <c r="F1629">
        <v>81</v>
      </c>
      <c r="G1629">
        <v>31.6</v>
      </c>
      <c r="H1629">
        <v>0.94899999999999995</v>
      </c>
      <c r="I1629">
        <v>28</v>
      </c>
      <c r="J1629">
        <v>0</v>
      </c>
      <c r="K1629" t="str">
        <f t="shared" si="50"/>
        <v>Young</v>
      </c>
      <c r="L1629" t="str">
        <f t="shared" si="51"/>
        <v>Obese</v>
      </c>
    </row>
    <row r="1630" spans="1:12" x14ac:dyDescent="0.2">
      <c r="A1630">
        <v>1629</v>
      </c>
      <c r="B1630">
        <v>1</v>
      </c>
      <c r="C1630">
        <v>100</v>
      </c>
      <c r="D1630">
        <v>66</v>
      </c>
      <c r="E1630">
        <v>29</v>
      </c>
      <c r="F1630">
        <v>196</v>
      </c>
      <c r="G1630">
        <v>32</v>
      </c>
      <c r="H1630">
        <v>0.44400000000000001</v>
      </c>
      <c r="I1630">
        <v>42</v>
      </c>
      <c r="J1630">
        <v>0</v>
      </c>
      <c r="K1630" t="str">
        <f t="shared" si="50"/>
        <v>Middle-Aged</v>
      </c>
      <c r="L1630" t="str">
        <f t="shared" si="51"/>
        <v>Obese</v>
      </c>
    </row>
    <row r="1631" spans="1:12" x14ac:dyDescent="0.2">
      <c r="A1631">
        <v>1630</v>
      </c>
      <c r="B1631">
        <v>5</v>
      </c>
      <c r="C1631">
        <v>166</v>
      </c>
      <c r="D1631">
        <v>76</v>
      </c>
      <c r="E1631">
        <v>0</v>
      </c>
      <c r="F1631">
        <v>0</v>
      </c>
      <c r="G1631">
        <v>45.7</v>
      </c>
      <c r="H1631">
        <v>0.34</v>
      </c>
      <c r="I1631">
        <v>27</v>
      </c>
      <c r="J1631">
        <v>1</v>
      </c>
      <c r="K1631" t="str">
        <f t="shared" si="50"/>
        <v>Young</v>
      </c>
      <c r="L1631" t="str">
        <f t="shared" si="51"/>
        <v>Obese</v>
      </c>
    </row>
    <row r="1632" spans="1:12" x14ac:dyDescent="0.2">
      <c r="A1632">
        <v>1631</v>
      </c>
      <c r="B1632">
        <v>1</v>
      </c>
      <c r="C1632">
        <v>131</v>
      </c>
      <c r="D1632">
        <v>64</v>
      </c>
      <c r="E1632">
        <v>14</v>
      </c>
      <c r="F1632">
        <v>415</v>
      </c>
      <c r="G1632">
        <v>23.7</v>
      </c>
      <c r="H1632">
        <v>0.38900000000000001</v>
      </c>
      <c r="I1632">
        <v>21</v>
      </c>
      <c r="J1632">
        <v>0</v>
      </c>
      <c r="K1632" t="str">
        <f t="shared" si="50"/>
        <v>Young</v>
      </c>
      <c r="L1632" t="str">
        <f t="shared" si="51"/>
        <v>Normal</v>
      </c>
    </row>
    <row r="1633" spans="1:12" x14ac:dyDescent="0.2">
      <c r="A1633">
        <v>1632</v>
      </c>
      <c r="B1633">
        <v>4</v>
      </c>
      <c r="C1633">
        <v>116</v>
      </c>
      <c r="D1633">
        <v>72</v>
      </c>
      <c r="E1633">
        <v>12</v>
      </c>
      <c r="F1633">
        <v>87</v>
      </c>
      <c r="G1633">
        <v>22.1</v>
      </c>
      <c r="H1633">
        <v>0.46300000000000002</v>
      </c>
      <c r="I1633">
        <v>37</v>
      </c>
      <c r="J1633">
        <v>0</v>
      </c>
      <c r="K1633" t="str">
        <f t="shared" si="50"/>
        <v>Middle-Aged</v>
      </c>
      <c r="L1633" t="str">
        <f t="shared" si="51"/>
        <v>Normal</v>
      </c>
    </row>
    <row r="1634" spans="1:12" x14ac:dyDescent="0.2">
      <c r="A1634">
        <v>1633</v>
      </c>
      <c r="B1634">
        <v>4</v>
      </c>
      <c r="C1634">
        <v>158</v>
      </c>
      <c r="D1634">
        <v>78</v>
      </c>
      <c r="E1634">
        <v>0</v>
      </c>
      <c r="F1634">
        <v>0</v>
      </c>
      <c r="G1634">
        <v>32.9</v>
      </c>
      <c r="H1634">
        <v>0.80300000000000005</v>
      </c>
      <c r="I1634">
        <v>31</v>
      </c>
      <c r="J1634">
        <v>1</v>
      </c>
      <c r="K1634" t="str">
        <f t="shared" si="50"/>
        <v>Middle-Aged</v>
      </c>
      <c r="L1634" t="str">
        <f t="shared" si="51"/>
        <v>Obese</v>
      </c>
    </row>
    <row r="1635" spans="1:12" x14ac:dyDescent="0.2">
      <c r="A1635">
        <v>1634</v>
      </c>
      <c r="B1635">
        <v>2</v>
      </c>
      <c r="C1635">
        <v>127</v>
      </c>
      <c r="D1635">
        <v>58</v>
      </c>
      <c r="E1635">
        <v>24</v>
      </c>
      <c r="F1635">
        <v>275</v>
      </c>
      <c r="G1635">
        <v>27.7</v>
      </c>
      <c r="H1635">
        <v>1.6</v>
      </c>
      <c r="I1635">
        <v>25</v>
      </c>
      <c r="J1635">
        <v>0</v>
      </c>
      <c r="K1635" t="str">
        <f t="shared" si="50"/>
        <v>Young</v>
      </c>
      <c r="L1635" t="str">
        <f t="shared" si="51"/>
        <v>Overweight</v>
      </c>
    </row>
    <row r="1636" spans="1:12" x14ac:dyDescent="0.2">
      <c r="A1636">
        <v>1635</v>
      </c>
      <c r="B1636">
        <v>3</v>
      </c>
      <c r="C1636">
        <v>96</v>
      </c>
      <c r="D1636">
        <v>56</v>
      </c>
      <c r="E1636">
        <v>34</v>
      </c>
      <c r="F1636">
        <v>115</v>
      </c>
      <c r="G1636">
        <v>24.7</v>
      </c>
      <c r="H1636">
        <v>0.94399999999999995</v>
      </c>
      <c r="I1636">
        <v>39</v>
      </c>
      <c r="J1636">
        <v>0</v>
      </c>
      <c r="K1636" t="str">
        <f t="shared" si="50"/>
        <v>Middle-Aged</v>
      </c>
      <c r="L1636" t="str">
        <f t="shared" si="51"/>
        <v>Normal</v>
      </c>
    </row>
    <row r="1637" spans="1:12" x14ac:dyDescent="0.2">
      <c r="A1637">
        <v>1636</v>
      </c>
      <c r="B1637">
        <v>0</v>
      </c>
      <c r="C1637">
        <v>131</v>
      </c>
      <c r="D1637">
        <v>66</v>
      </c>
      <c r="E1637">
        <v>40</v>
      </c>
      <c r="F1637">
        <v>0</v>
      </c>
      <c r="G1637">
        <v>34.299999999999997</v>
      </c>
      <c r="H1637">
        <v>0.19600000000000001</v>
      </c>
      <c r="I1637">
        <v>22</v>
      </c>
      <c r="J1637">
        <v>1</v>
      </c>
      <c r="K1637" t="str">
        <f t="shared" si="50"/>
        <v>Young</v>
      </c>
      <c r="L1637" t="str">
        <f t="shared" si="51"/>
        <v>Obese</v>
      </c>
    </row>
    <row r="1638" spans="1:12" x14ac:dyDescent="0.2">
      <c r="A1638">
        <v>1637</v>
      </c>
      <c r="B1638">
        <v>3</v>
      </c>
      <c r="C1638">
        <v>82</v>
      </c>
      <c r="D1638">
        <v>70</v>
      </c>
      <c r="E1638">
        <v>0</v>
      </c>
      <c r="F1638">
        <v>0</v>
      </c>
      <c r="G1638">
        <v>21.1</v>
      </c>
      <c r="H1638">
        <v>0.38900000000000001</v>
      </c>
      <c r="I1638">
        <v>25</v>
      </c>
      <c r="J1638">
        <v>0</v>
      </c>
      <c r="K1638" t="str">
        <f t="shared" si="50"/>
        <v>Young</v>
      </c>
      <c r="L1638" t="str">
        <f t="shared" si="51"/>
        <v>Normal</v>
      </c>
    </row>
    <row r="1639" spans="1:12" x14ac:dyDescent="0.2">
      <c r="A1639">
        <v>1638</v>
      </c>
      <c r="B1639">
        <v>3</v>
      </c>
      <c r="C1639">
        <v>193</v>
      </c>
      <c r="D1639">
        <v>70</v>
      </c>
      <c r="E1639">
        <v>31</v>
      </c>
      <c r="F1639">
        <v>0</v>
      </c>
      <c r="G1639">
        <v>34.9</v>
      </c>
      <c r="H1639">
        <v>0.24099999999999999</v>
      </c>
      <c r="I1639">
        <v>25</v>
      </c>
      <c r="J1639">
        <v>1</v>
      </c>
      <c r="K1639" t="str">
        <f t="shared" si="50"/>
        <v>Young</v>
      </c>
      <c r="L1639" t="str">
        <f t="shared" si="51"/>
        <v>Obese</v>
      </c>
    </row>
    <row r="1640" spans="1:12" x14ac:dyDescent="0.2">
      <c r="A1640">
        <v>1639</v>
      </c>
      <c r="B1640">
        <v>4</v>
      </c>
      <c r="C1640">
        <v>95</v>
      </c>
      <c r="D1640">
        <v>64</v>
      </c>
      <c r="E1640">
        <v>0</v>
      </c>
      <c r="F1640">
        <v>0</v>
      </c>
      <c r="G1640">
        <v>32</v>
      </c>
      <c r="H1640">
        <v>0.161</v>
      </c>
      <c r="I1640">
        <v>31</v>
      </c>
      <c r="J1640">
        <v>1</v>
      </c>
      <c r="K1640" t="str">
        <f t="shared" si="50"/>
        <v>Middle-Aged</v>
      </c>
      <c r="L1640" t="str">
        <f t="shared" si="51"/>
        <v>Obese</v>
      </c>
    </row>
    <row r="1641" spans="1:12" x14ac:dyDescent="0.2">
      <c r="A1641">
        <v>1640</v>
      </c>
      <c r="B1641">
        <v>6</v>
      </c>
      <c r="C1641">
        <v>137</v>
      </c>
      <c r="D1641">
        <v>61</v>
      </c>
      <c r="E1641">
        <v>0</v>
      </c>
      <c r="F1641">
        <v>0</v>
      </c>
      <c r="G1641">
        <v>24.2</v>
      </c>
      <c r="H1641">
        <v>0.151</v>
      </c>
      <c r="I1641">
        <v>55</v>
      </c>
      <c r="J1641">
        <v>0</v>
      </c>
      <c r="K1641" t="str">
        <f t="shared" si="50"/>
        <v>Senior</v>
      </c>
      <c r="L1641" t="str">
        <f t="shared" si="51"/>
        <v>Normal</v>
      </c>
    </row>
    <row r="1642" spans="1:12" x14ac:dyDescent="0.2">
      <c r="A1642">
        <v>1641</v>
      </c>
      <c r="B1642">
        <v>5</v>
      </c>
      <c r="C1642">
        <v>136</v>
      </c>
      <c r="D1642">
        <v>84</v>
      </c>
      <c r="E1642">
        <v>41</v>
      </c>
      <c r="F1642">
        <v>88</v>
      </c>
      <c r="G1642">
        <v>35</v>
      </c>
      <c r="H1642">
        <v>0.28599999999999998</v>
      </c>
      <c r="I1642">
        <v>35</v>
      </c>
      <c r="J1642">
        <v>1</v>
      </c>
      <c r="K1642" t="str">
        <f t="shared" si="50"/>
        <v>Middle-Aged</v>
      </c>
      <c r="L1642" t="str">
        <f t="shared" si="51"/>
        <v>Obese</v>
      </c>
    </row>
    <row r="1643" spans="1:12" x14ac:dyDescent="0.2">
      <c r="A1643">
        <v>1642</v>
      </c>
      <c r="B1643">
        <v>9</v>
      </c>
      <c r="C1643">
        <v>72</v>
      </c>
      <c r="D1643">
        <v>78</v>
      </c>
      <c r="E1643">
        <v>25</v>
      </c>
      <c r="F1643">
        <v>0</v>
      </c>
      <c r="G1643">
        <v>31.6</v>
      </c>
      <c r="H1643">
        <v>0.28000000000000003</v>
      </c>
      <c r="I1643">
        <v>38</v>
      </c>
      <c r="J1643">
        <v>0</v>
      </c>
      <c r="K1643" t="str">
        <f t="shared" si="50"/>
        <v>Middle-Aged</v>
      </c>
      <c r="L1643" t="str">
        <f t="shared" si="51"/>
        <v>Obese</v>
      </c>
    </row>
    <row r="1644" spans="1:12" x14ac:dyDescent="0.2">
      <c r="A1644">
        <v>1643</v>
      </c>
      <c r="B1644">
        <v>5</v>
      </c>
      <c r="C1644">
        <v>168</v>
      </c>
      <c r="D1644">
        <v>64</v>
      </c>
      <c r="E1644">
        <v>0</v>
      </c>
      <c r="F1644">
        <v>0</v>
      </c>
      <c r="G1644">
        <v>32.9</v>
      </c>
      <c r="H1644">
        <v>0.13500000000000001</v>
      </c>
      <c r="I1644">
        <v>41</v>
      </c>
      <c r="J1644">
        <v>1</v>
      </c>
      <c r="K1644" t="str">
        <f t="shared" si="50"/>
        <v>Middle-Aged</v>
      </c>
      <c r="L1644" t="str">
        <f t="shared" si="51"/>
        <v>Obese</v>
      </c>
    </row>
    <row r="1645" spans="1:12" x14ac:dyDescent="0.2">
      <c r="A1645">
        <v>1644</v>
      </c>
      <c r="B1645">
        <v>2</v>
      </c>
      <c r="C1645">
        <v>123</v>
      </c>
      <c r="D1645">
        <v>48</v>
      </c>
      <c r="E1645">
        <v>32</v>
      </c>
      <c r="F1645">
        <v>165</v>
      </c>
      <c r="G1645">
        <v>42.1</v>
      </c>
      <c r="H1645">
        <v>0.52</v>
      </c>
      <c r="I1645">
        <v>26</v>
      </c>
      <c r="J1645">
        <v>0</v>
      </c>
      <c r="K1645" t="str">
        <f t="shared" si="50"/>
        <v>Young</v>
      </c>
      <c r="L1645" t="str">
        <f t="shared" si="51"/>
        <v>Obese</v>
      </c>
    </row>
    <row r="1646" spans="1:12" x14ac:dyDescent="0.2">
      <c r="A1646">
        <v>1645</v>
      </c>
      <c r="B1646">
        <v>4</v>
      </c>
      <c r="C1646">
        <v>115</v>
      </c>
      <c r="D1646">
        <v>72</v>
      </c>
      <c r="E1646">
        <v>0</v>
      </c>
      <c r="F1646">
        <v>0</v>
      </c>
      <c r="G1646">
        <v>28.9</v>
      </c>
      <c r="H1646">
        <v>0.376</v>
      </c>
      <c r="I1646">
        <v>46</v>
      </c>
      <c r="J1646">
        <v>1</v>
      </c>
      <c r="K1646" t="str">
        <f t="shared" si="50"/>
        <v>Senior</v>
      </c>
      <c r="L1646" t="str">
        <f t="shared" si="51"/>
        <v>Overweight</v>
      </c>
    </row>
    <row r="1647" spans="1:12" x14ac:dyDescent="0.2">
      <c r="A1647">
        <v>1646</v>
      </c>
      <c r="B1647">
        <v>0</v>
      </c>
      <c r="C1647">
        <v>101</v>
      </c>
      <c r="D1647">
        <v>62</v>
      </c>
      <c r="E1647">
        <v>0</v>
      </c>
      <c r="F1647">
        <v>0</v>
      </c>
      <c r="G1647">
        <v>21.9</v>
      </c>
      <c r="H1647">
        <v>0.33600000000000002</v>
      </c>
      <c r="I1647">
        <v>25</v>
      </c>
      <c r="J1647">
        <v>0</v>
      </c>
      <c r="K1647" t="str">
        <f t="shared" si="50"/>
        <v>Young</v>
      </c>
      <c r="L1647" t="str">
        <f t="shared" si="51"/>
        <v>Normal</v>
      </c>
    </row>
    <row r="1648" spans="1:12" x14ac:dyDescent="0.2">
      <c r="A1648">
        <v>1647</v>
      </c>
      <c r="B1648">
        <v>8</v>
      </c>
      <c r="C1648">
        <v>197</v>
      </c>
      <c r="D1648">
        <v>74</v>
      </c>
      <c r="E1648">
        <v>0</v>
      </c>
      <c r="F1648">
        <v>0</v>
      </c>
      <c r="G1648">
        <v>25.9</v>
      </c>
      <c r="H1648">
        <v>1.1910000000000001</v>
      </c>
      <c r="I1648">
        <v>39</v>
      </c>
      <c r="J1648">
        <v>1</v>
      </c>
      <c r="K1648" t="str">
        <f t="shared" si="50"/>
        <v>Middle-Aged</v>
      </c>
      <c r="L1648" t="str">
        <f t="shared" si="51"/>
        <v>Overweight</v>
      </c>
    </row>
    <row r="1649" spans="1:12" x14ac:dyDescent="0.2">
      <c r="A1649">
        <v>1648</v>
      </c>
      <c r="B1649">
        <v>1</v>
      </c>
      <c r="C1649">
        <v>172</v>
      </c>
      <c r="D1649">
        <v>68</v>
      </c>
      <c r="E1649">
        <v>49</v>
      </c>
      <c r="F1649">
        <v>579</v>
      </c>
      <c r="G1649">
        <v>42.4</v>
      </c>
      <c r="H1649">
        <v>0.70199999999999996</v>
      </c>
      <c r="I1649">
        <v>28</v>
      </c>
      <c r="J1649">
        <v>1</v>
      </c>
      <c r="K1649" t="str">
        <f t="shared" si="50"/>
        <v>Young</v>
      </c>
      <c r="L1649" t="str">
        <f t="shared" si="51"/>
        <v>Obese</v>
      </c>
    </row>
    <row r="1650" spans="1:12" x14ac:dyDescent="0.2">
      <c r="A1650">
        <v>1649</v>
      </c>
      <c r="B1650">
        <v>6</v>
      </c>
      <c r="C1650">
        <v>102</v>
      </c>
      <c r="D1650">
        <v>90</v>
      </c>
      <c r="E1650">
        <v>39</v>
      </c>
      <c r="F1650">
        <v>0</v>
      </c>
      <c r="G1650">
        <v>35.700000000000003</v>
      </c>
      <c r="H1650">
        <v>0.67400000000000004</v>
      </c>
      <c r="I1650">
        <v>28</v>
      </c>
      <c r="J1650">
        <v>0</v>
      </c>
      <c r="K1650" t="str">
        <f t="shared" si="50"/>
        <v>Young</v>
      </c>
      <c r="L1650" t="str">
        <f t="shared" si="51"/>
        <v>Obese</v>
      </c>
    </row>
    <row r="1651" spans="1:12" x14ac:dyDescent="0.2">
      <c r="A1651">
        <v>1650</v>
      </c>
      <c r="B1651">
        <v>1</v>
      </c>
      <c r="C1651">
        <v>112</v>
      </c>
      <c r="D1651">
        <v>72</v>
      </c>
      <c r="E1651">
        <v>30</v>
      </c>
      <c r="F1651">
        <v>176</v>
      </c>
      <c r="G1651">
        <v>34.4</v>
      </c>
      <c r="H1651">
        <v>0.52800000000000002</v>
      </c>
      <c r="I1651">
        <v>25</v>
      </c>
      <c r="J1651">
        <v>0</v>
      </c>
      <c r="K1651" t="str">
        <f t="shared" si="50"/>
        <v>Young</v>
      </c>
      <c r="L1651" t="str">
        <f t="shared" si="51"/>
        <v>Obese</v>
      </c>
    </row>
    <row r="1652" spans="1:12" x14ac:dyDescent="0.2">
      <c r="A1652">
        <v>1651</v>
      </c>
      <c r="B1652">
        <v>1</v>
      </c>
      <c r="C1652">
        <v>143</v>
      </c>
      <c r="D1652">
        <v>84</v>
      </c>
      <c r="E1652">
        <v>23</v>
      </c>
      <c r="F1652">
        <v>310</v>
      </c>
      <c r="G1652">
        <v>42.4</v>
      </c>
      <c r="H1652">
        <v>1.0760000000000001</v>
      </c>
      <c r="I1652">
        <v>22</v>
      </c>
      <c r="J1652">
        <v>0</v>
      </c>
      <c r="K1652" t="str">
        <f t="shared" si="50"/>
        <v>Young</v>
      </c>
      <c r="L1652" t="str">
        <f t="shared" si="51"/>
        <v>Obese</v>
      </c>
    </row>
    <row r="1653" spans="1:12" x14ac:dyDescent="0.2">
      <c r="A1653">
        <v>1652</v>
      </c>
      <c r="B1653">
        <v>1</v>
      </c>
      <c r="C1653">
        <v>143</v>
      </c>
      <c r="D1653">
        <v>74</v>
      </c>
      <c r="E1653">
        <v>22</v>
      </c>
      <c r="F1653">
        <v>61</v>
      </c>
      <c r="G1653">
        <v>26.2</v>
      </c>
      <c r="H1653">
        <v>0.25600000000000001</v>
      </c>
      <c r="I1653">
        <v>21</v>
      </c>
      <c r="J1653">
        <v>0</v>
      </c>
      <c r="K1653" t="str">
        <f t="shared" si="50"/>
        <v>Young</v>
      </c>
      <c r="L1653" t="str">
        <f t="shared" si="51"/>
        <v>Overweight</v>
      </c>
    </row>
    <row r="1654" spans="1:12" x14ac:dyDescent="0.2">
      <c r="A1654">
        <v>1653</v>
      </c>
      <c r="B1654">
        <v>0</v>
      </c>
      <c r="C1654">
        <v>138</v>
      </c>
      <c r="D1654">
        <v>60</v>
      </c>
      <c r="E1654">
        <v>35</v>
      </c>
      <c r="F1654">
        <v>167</v>
      </c>
      <c r="G1654">
        <v>34.6</v>
      </c>
      <c r="H1654">
        <v>0.53400000000000003</v>
      </c>
      <c r="I1654">
        <v>21</v>
      </c>
      <c r="J1654">
        <v>1</v>
      </c>
      <c r="K1654" t="str">
        <f t="shared" si="50"/>
        <v>Young</v>
      </c>
      <c r="L1654" t="str">
        <f t="shared" si="51"/>
        <v>Obese</v>
      </c>
    </row>
    <row r="1655" spans="1:12" x14ac:dyDescent="0.2">
      <c r="A1655">
        <v>1654</v>
      </c>
      <c r="B1655">
        <v>3</v>
      </c>
      <c r="C1655">
        <v>173</v>
      </c>
      <c r="D1655">
        <v>84</v>
      </c>
      <c r="E1655">
        <v>33</v>
      </c>
      <c r="F1655">
        <v>474</v>
      </c>
      <c r="G1655">
        <v>35.700000000000003</v>
      </c>
      <c r="H1655">
        <v>0.25800000000000001</v>
      </c>
      <c r="I1655">
        <v>22</v>
      </c>
      <c r="J1655">
        <v>1</v>
      </c>
      <c r="K1655" t="str">
        <f t="shared" si="50"/>
        <v>Young</v>
      </c>
      <c r="L1655" t="str">
        <f t="shared" si="51"/>
        <v>Obese</v>
      </c>
    </row>
    <row r="1656" spans="1:12" x14ac:dyDescent="0.2">
      <c r="A1656">
        <v>1655</v>
      </c>
      <c r="B1656">
        <v>1</v>
      </c>
      <c r="C1656">
        <v>97</v>
      </c>
      <c r="D1656">
        <v>68</v>
      </c>
      <c r="E1656">
        <v>21</v>
      </c>
      <c r="F1656">
        <v>0</v>
      </c>
      <c r="G1656">
        <v>27.2</v>
      </c>
      <c r="H1656">
        <v>1.095</v>
      </c>
      <c r="I1656">
        <v>22</v>
      </c>
      <c r="J1656">
        <v>0</v>
      </c>
      <c r="K1656" t="str">
        <f t="shared" si="50"/>
        <v>Young</v>
      </c>
      <c r="L1656" t="str">
        <f t="shared" si="51"/>
        <v>Overweight</v>
      </c>
    </row>
    <row r="1657" spans="1:12" x14ac:dyDescent="0.2">
      <c r="A1657">
        <v>1656</v>
      </c>
      <c r="B1657">
        <v>4</v>
      </c>
      <c r="C1657">
        <v>144</v>
      </c>
      <c r="D1657">
        <v>82</v>
      </c>
      <c r="E1657">
        <v>32</v>
      </c>
      <c r="F1657">
        <v>0</v>
      </c>
      <c r="G1657">
        <v>38.5</v>
      </c>
      <c r="H1657">
        <v>0.55400000000000005</v>
      </c>
      <c r="I1657">
        <v>37</v>
      </c>
      <c r="J1657">
        <v>1</v>
      </c>
      <c r="K1657" t="str">
        <f t="shared" si="50"/>
        <v>Middle-Aged</v>
      </c>
      <c r="L1657" t="str">
        <f t="shared" si="51"/>
        <v>Obese</v>
      </c>
    </row>
    <row r="1658" spans="1:12" x14ac:dyDescent="0.2">
      <c r="A1658">
        <v>1657</v>
      </c>
      <c r="B1658">
        <v>1</v>
      </c>
      <c r="C1658">
        <v>83</v>
      </c>
      <c r="D1658">
        <v>68</v>
      </c>
      <c r="E1658">
        <v>0</v>
      </c>
      <c r="F1658">
        <v>0</v>
      </c>
      <c r="G1658">
        <v>18.2</v>
      </c>
      <c r="H1658">
        <v>0.624</v>
      </c>
      <c r="I1658">
        <v>27</v>
      </c>
      <c r="J1658">
        <v>0</v>
      </c>
      <c r="K1658" t="str">
        <f t="shared" si="50"/>
        <v>Young</v>
      </c>
      <c r="L1658" t="str">
        <f t="shared" si="51"/>
        <v>Underweight</v>
      </c>
    </row>
    <row r="1659" spans="1:12" x14ac:dyDescent="0.2">
      <c r="A1659">
        <v>1658</v>
      </c>
      <c r="B1659">
        <v>3</v>
      </c>
      <c r="C1659">
        <v>129</v>
      </c>
      <c r="D1659">
        <v>64</v>
      </c>
      <c r="E1659">
        <v>29</v>
      </c>
      <c r="F1659">
        <v>115</v>
      </c>
      <c r="G1659">
        <v>26.4</v>
      </c>
      <c r="H1659">
        <v>0.219</v>
      </c>
      <c r="I1659">
        <v>28</v>
      </c>
      <c r="J1659">
        <v>1</v>
      </c>
      <c r="K1659" t="str">
        <f t="shared" si="50"/>
        <v>Young</v>
      </c>
      <c r="L1659" t="str">
        <f t="shared" si="51"/>
        <v>Overweight</v>
      </c>
    </row>
    <row r="1660" spans="1:12" x14ac:dyDescent="0.2">
      <c r="A1660">
        <v>1659</v>
      </c>
      <c r="B1660">
        <v>1</v>
      </c>
      <c r="C1660">
        <v>119</v>
      </c>
      <c r="D1660">
        <v>88</v>
      </c>
      <c r="E1660">
        <v>41</v>
      </c>
      <c r="F1660">
        <v>170</v>
      </c>
      <c r="G1660">
        <v>45.3</v>
      </c>
      <c r="H1660">
        <v>0.50700000000000001</v>
      </c>
      <c r="I1660">
        <v>26</v>
      </c>
      <c r="J1660">
        <v>0</v>
      </c>
      <c r="K1660" t="str">
        <f t="shared" si="50"/>
        <v>Young</v>
      </c>
      <c r="L1660" t="str">
        <f t="shared" si="51"/>
        <v>Obese</v>
      </c>
    </row>
    <row r="1661" spans="1:12" x14ac:dyDescent="0.2">
      <c r="A1661">
        <v>1660</v>
      </c>
      <c r="B1661">
        <v>2</v>
      </c>
      <c r="C1661">
        <v>94</v>
      </c>
      <c r="D1661">
        <v>68</v>
      </c>
      <c r="E1661">
        <v>18</v>
      </c>
      <c r="F1661">
        <v>76</v>
      </c>
      <c r="G1661">
        <v>26</v>
      </c>
      <c r="H1661">
        <v>0.56100000000000005</v>
      </c>
      <c r="I1661">
        <v>21</v>
      </c>
      <c r="J1661">
        <v>0</v>
      </c>
      <c r="K1661" t="str">
        <f t="shared" si="50"/>
        <v>Young</v>
      </c>
      <c r="L1661" t="str">
        <f t="shared" si="51"/>
        <v>Overweight</v>
      </c>
    </row>
    <row r="1662" spans="1:12" x14ac:dyDescent="0.2">
      <c r="A1662">
        <v>1661</v>
      </c>
      <c r="B1662">
        <v>0</v>
      </c>
      <c r="C1662">
        <v>102</v>
      </c>
      <c r="D1662">
        <v>64</v>
      </c>
      <c r="E1662">
        <v>46</v>
      </c>
      <c r="F1662">
        <v>78</v>
      </c>
      <c r="G1662">
        <v>40.6</v>
      </c>
      <c r="H1662">
        <v>0.496</v>
      </c>
      <c r="I1662">
        <v>21</v>
      </c>
      <c r="J1662">
        <v>0</v>
      </c>
      <c r="K1662" t="str">
        <f t="shared" si="50"/>
        <v>Young</v>
      </c>
      <c r="L1662" t="str">
        <f t="shared" si="51"/>
        <v>Obese</v>
      </c>
    </row>
    <row r="1663" spans="1:12" x14ac:dyDescent="0.2">
      <c r="A1663">
        <v>1662</v>
      </c>
      <c r="B1663">
        <v>2</v>
      </c>
      <c r="C1663">
        <v>115</v>
      </c>
      <c r="D1663">
        <v>64</v>
      </c>
      <c r="E1663">
        <v>22</v>
      </c>
      <c r="F1663">
        <v>0</v>
      </c>
      <c r="G1663">
        <v>30.8</v>
      </c>
      <c r="H1663">
        <v>0.42099999999999999</v>
      </c>
      <c r="I1663">
        <v>21</v>
      </c>
      <c r="J1663">
        <v>0</v>
      </c>
      <c r="K1663" t="str">
        <f t="shared" si="50"/>
        <v>Young</v>
      </c>
      <c r="L1663" t="str">
        <f t="shared" si="51"/>
        <v>Obese</v>
      </c>
    </row>
    <row r="1664" spans="1:12" x14ac:dyDescent="0.2">
      <c r="A1664">
        <v>1663</v>
      </c>
      <c r="B1664">
        <v>8</v>
      </c>
      <c r="C1664">
        <v>151</v>
      </c>
      <c r="D1664">
        <v>78</v>
      </c>
      <c r="E1664">
        <v>32</v>
      </c>
      <c r="F1664">
        <v>210</v>
      </c>
      <c r="G1664">
        <v>42.9</v>
      </c>
      <c r="H1664">
        <v>0.51600000000000001</v>
      </c>
      <c r="I1664">
        <v>36</v>
      </c>
      <c r="J1664">
        <v>1</v>
      </c>
      <c r="K1664" t="str">
        <f t="shared" si="50"/>
        <v>Middle-Aged</v>
      </c>
      <c r="L1664" t="str">
        <f t="shared" si="51"/>
        <v>Obese</v>
      </c>
    </row>
    <row r="1665" spans="1:12" x14ac:dyDescent="0.2">
      <c r="A1665">
        <v>1664</v>
      </c>
      <c r="B1665">
        <v>4</v>
      </c>
      <c r="C1665">
        <v>184</v>
      </c>
      <c r="D1665">
        <v>78</v>
      </c>
      <c r="E1665">
        <v>39</v>
      </c>
      <c r="F1665">
        <v>277</v>
      </c>
      <c r="G1665">
        <v>37</v>
      </c>
      <c r="H1665">
        <v>0.26400000000000001</v>
      </c>
      <c r="I1665">
        <v>31</v>
      </c>
      <c r="J1665">
        <v>1</v>
      </c>
      <c r="K1665" t="str">
        <f t="shared" si="50"/>
        <v>Middle-Aged</v>
      </c>
      <c r="L1665" t="str">
        <f t="shared" si="51"/>
        <v>Obese</v>
      </c>
    </row>
    <row r="1666" spans="1:12" x14ac:dyDescent="0.2">
      <c r="A1666">
        <v>1665</v>
      </c>
      <c r="B1666">
        <v>0</v>
      </c>
      <c r="C1666">
        <v>94</v>
      </c>
      <c r="D1666">
        <v>121</v>
      </c>
      <c r="E1666">
        <v>0</v>
      </c>
      <c r="F1666">
        <v>0</v>
      </c>
      <c r="G1666">
        <v>121</v>
      </c>
      <c r="H1666">
        <v>0.25600000000000001</v>
      </c>
      <c r="I1666">
        <v>25</v>
      </c>
      <c r="J1666">
        <v>0</v>
      </c>
      <c r="K1666" t="str">
        <f t="shared" si="50"/>
        <v>Young</v>
      </c>
      <c r="L1666" t="str">
        <f t="shared" si="51"/>
        <v>Obese</v>
      </c>
    </row>
    <row r="1667" spans="1:12" x14ac:dyDescent="0.2">
      <c r="A1667">
        <v>1666</v>
      </c>
      <c r="B1667">
        <v>1</v>
      </c>
      <c r="C1667">
        <v>181</v>
      </c>
      <c r="D1667">
        <v>64</v>
      </c>
      <c r="E1667">
        <v>30</v>
      </c>
      <c r="F1667">
        <v>180</v>
      </c>
      <c r="G1667">
        <v>34.1</v>
      </c>
      <c r="H1667">
        <v>0.32800000000000001</v>
      </c>
      <c r="I1667">
        <v>38</v>
      </c>
      <c r="J1667">
        <v>1</v>
      </c>
      <c r="K1667" t="str">
        <f t="shared" ref="K1667:K1730" si="52">IF(I1667&lt;30, "Young", IF( I1667&lt;45, "Middle-Aged", "Senior"))</f>
        <v>Middle-Aged</v>
      </c>
      <c r="L1667" t="str">
        <f t="shared" ref="L1667:L1730" si="53">IF(G1667&lt;18.5, "Underweight", IF(G1667&lt;25, "Normal", IF(G1667&lt;30, "Overweight", "Obese")))</f>
        <v>Obese</v>
      </c>
    </row>
    <row r="1668" spans="1:12" x14ac:dyDescent="0.2">
      <c r="A1668">
        <v>1667</v>
      </c>
      <c r="B1668">
        <v>0</v>
      </c>
      <c r="C1668">
        <v>135</v>
      </c>
      <c r="D1668">
        <v>94</v>
      </c>
      <c r="E1668">
        <v>46</v>
      </c>
      <c r="F1668">
        <v>145</v>
      </c>
      <c r="G1668">
        <v>40.6</v>
      </c>
      <c r="H1668">
        <v>0.28399999999999997</v>
      </c>
      <c r="I1668">
        <v>26</v>
      </c>
      <c r="J1668">
        <v>0</v>
      </c>
      <c r="K1668" t="str">
        <f t="shared" si="52"/>
        <v>Young</v>
      </c>
      <c r="L1668" t="str">
        <f t="shared" si="53"/>
        <v>Obese</v>
      </c>
    </row>
    <row r="1669" spans="1:12" x14ac:dyDescent="0.2">
      <c r="A1669">
        <v>1668</v>
      </c>
      <c r="B1669">
        <v>1</v>
      </c>
      <c r="C1669">
        <v>95</v>
      </c>
      <c r="D1669">
        <v>82</v>
      </c>
      <c r="E1669">
        <v>25</v>
      </c>
      <c r="F1669">
        <v>180</v>
      </c>
      <c r="G1669">
        <v>35</v>
      </c>
      <c r="H1669">
        <v>0.23300000000000001</v>
      </c>
      <c r="I1669">
        <v>43</v>
      </c>
      <c r="J1669">
        <v>1</v>
      </c>
      <c r="K1669" t="str">
        <f t="shared" si="52"/>
        <v>Middle-Aged</v>
      </c>
      <c r="L1669" t="str">
        <f t="shared" si="53"/>
        <v>Obese</v>
      </c>
    </row>
    <row r="1670" spans="1:12" x14ac:dyDescent="0.2">
      <c r="A1670">
        <v>1669</v>
      </c>
      <c r="B1670">
        <v>2</v>
      </c>
      <c r="C1670">
        <v>99</v>
      </c>
      <c r="D1670">
        <v>121</v>
      </c>
      <c r="E1670">
        <v>0</v>
      </c>
      <c r="F1670">
        <v>0</v>
      </c>
      <c r="G1670">
        <v>22.2</v>
      </c>
      <c r="H1670">
        <v>0.108</v>
      </c>
      <c r="I1670">
        <v>23</v>
      </c>
      <c r="J1670">
        <v>0</v>
      </c>
      <c r="K1670" t="str">
        <f t="shared" si="52"/>
        <v>Young</v>
      </c>
      <c r="L1670" t="str">
        <f t="shared" si="53"/>
        <v>Normal</v>
      </c>
    </row>
    <row r="1671" spans="1:12" x14ac:dyDescent="0.2">
      <c r="A1671">
        <v>1670</v>
      </c>
      <c r="B1671">
        <v>3</v>
      </c>
      <c r="C1671">
        <v>89</v>
      </c>
      <c r="D1671">
        <v>74</v>
      </c>
      <c r="E1671">
        <v>16</v>
      </c>
      <c r="F1671">
        <v>85</v>
      </c>
      <c r="G1671">
        <v>30.4</v>
      </c>
      <c r="H1671">
        <v>0.55100000000000005</v>
      </c>
      <c r="I1671">
        <v>38</v>
      </c>
      <c r="J1671">
        <v>0</v>
      </c>
      <c r="K1671" t="str">
        <f t="shared" si="52"/>
        <v>Middle-Aged</v>
      </c>
      <c r="L1671" t="str">
        <f t="shared" si="53"/>
        <v>Obese</v>
      </c>
    </row>
    <row r="1672" spans="1:12" x14ac:dyDescent="0.2">
      <c r="A1672">
        <v>1671</v>
      </c>
      <c r="B1672">
        <v>1</v>
      </c>
      <c r="C1672">
        <v>80</v>
      </c>
      <c r="D1672">
        <v>74</v>
      </c>
      <c r="E1672">
        <v>11</v>
      </c>
      <c r="F1672">
        <v>60</v>
      </c>
      <c r="G1672">
        <v>30</v>
      </c>
      <c r="H1672">
        <v>0.52700000000000002</v>
      </c>
      <c r="I1672">
        <v>22</v>
      </c>
      <c r="J1672">
        <v>0</v>
      </c>
      <c r="K1672" t="str">
        <f t="shared" si="52"/>
        <v>Young</v>
      </c>
      <c r="L1672" t="str">
        <f t="shared" si="53"/>
        <v>Obese</v>
      </c>
    </row>
    <row r="1673" spans="1:12" x14ac:dyDescent="0.2">
      <c r="A1673">
        <v>1672</v>
      </c>
      <c r="B1673">
        <v>2</v>
      </c>
      <c r="C1673">
        <v>139</v>
      </c>
      <c r="D1673">
        <v>75</v>
      </c>
      <c r="E1673">
        <v>0</v>
      </c>
      <c r="F1673">
        <v>0</v>
      </c>
      <c r="G1673">
        <v>25.6</v>
      </c>
      <c r="H1673">
        <v>0.16700000000000001</v>
      </c>
      <c r="I1673">
        <v>29</v>
      </c>
      <c r="J1673">
        <v>0</v>
      </c>
      <c r="K1673" t="str">
        <f t="shared" si="52"/>
        <v>Young</v>
      </c>
      <c r="L1673" t="str">
        <f t="shared" si="53"/>
        <v>Overweight</v>
      </c>
    </row>
    <row r="1674" spans="1:12" x14ac:dyDescent="0.2">
      <c r="A1674">
        <v>1673</v>
      </c>
      <c r="B1674">
        <v>1</v>
      </c>
      <c r="C1674">
        <v>90</v>
      </c>
      <c r="D1674">
        <v>68</v>
      </c>
      <c r="E1674">
        <v>8</v>
      </c>
      <c r="F1674">
        <v>0</v>
      </c>
      <c r="G1674">
        <v>24.5</v>
      </c>
      <c r="H1674">
        <v>1.1379999999999999</v>
      </c>
      <c r="I1674">
        <v>36</v>
      </c>
      <c r="J1674">
        <v>0</v>
      </c>
      <c r="K1674" t="str">
        <f t="shared" si="52"/>
        <v>Middle-Aged</v>
      </c>
      <c r="L1674" t="str">
        <f t="shared" si="53"/>
        <v>Normal</v>
      </c>
    </row>
    <row r="1675" spans="1:12" x14ac:dyDescent="0.2">
      <c r="A1675">
        <v>1674</v>
      </c>
      <c r="B1675">
        <v>0</v>
      </c>
      <c r="C1675">
        <v>141</v>
      </c>
      <c r="D1675">
        <v>121</v>
      </c>
      <c r="E1675">
        <v>0</v>
      </c>
      <c r="F1675">
        <v>0</v>
      </c>
      <c r="G1675">
        <v>42.4</v>
      </c>
      <c r="H1675">
        <v>0.20499999999999999</v>
      </c>
      <c r="I1675">
        <v>29</v>
      </c>
      <c r="J1675">
        <v>1</v>
      </c>
      <c r="K1675" t="str">
        <f t="shared" si="52"/>
        <v>Young</v>
      </c>
      <c r="L1675" t="str">
        <f t="shared" si="53"/>
        <v>Obese</v>
      </c>
    </row>
    <row r="1676" spans="1:12" x14ac:dyDescent="0.2">
      <c r="A1676">
        <v>1675</v>
      </c>
      <c r="B1676">
        <v>12</v>
      </c>
      <c r="C1676">
        <v>140</v>
      </c>
      <c r="D1676">
        <v>85</v>
      </c>
      <c r="E1676">
        <v>33</v>
      </c>
      <c r="F1676">
        <v>0</v>
      </c>
      <c r="G1676">
        <v>37.4</v>
      </c>
      <c r="H1676">
        <v>0.24399999999999999</v>
      </c>
      <c r="I1676">
        <v>41</v>
      </c>
      <c r="J1676">
        <v>0</v>
      </c>
      <c r="K1676" t="str">
        <f t="shared" si="52"/>
        <v>Middle-Aged</v>
      </c>
      <c r="L1676" t="str">
        <f t="shared" si="53"/>
        <v>Obese</v>
      </c>
    </row>
    <row r="1677" spans="1:12" x14ac:dyDescent="0.2">
      <c r="A1677">
        <v>1676</v>
      </c>
      <c r="B1677">
        <v>5</v>
      </c>
      <c r="C1677">
        <v>147</v>
      </c>
      <c r="D1677">
        <v>75</v>
      </c>
      <c r="E1677">
        <v>0</v>
      </c>
      <c r="F1677">
        <v>0</v>
      </c>
      <c r="G1677">
        <v>29.9</v>
      </c>
      <c r="H1677">
        <v>0.434</v>
      </c>
      <c r="I1677">
        <v>28</v>
      </c>
      <c r="J1677">
        <v>0</v>
      </c>
      <c r="K1677" t="str">
        <f t="shared" si="52"/>
        <v>Young</v>
      </c>
      <c r="L1677" t="str">
        <f t="shared" si="53"/>
        <v>Overweight</v>
      </c>
    </row>
    <row r="1678" spans="1:12" x14ac:dyDescent="0.2">
      <c r="A1678">
        <v>1677</v>
      </c>
      <c r="B1678">
        <v>1</v>
      </c>
      <c r="C1678">
        <v>97</v>
      </c>
      <c r="D1678">
        <v>70</v>
      </c>
      <c r="E1678">
        <v>15</v>
      </c>
      <c r="F1678">
        <v>0</v>
      </c>
      <c r="G1678">
        <v>18.2</v>
      </c>
      <c r="H1678">
        <v>0.14699999999999999</v>
      </c>
      <c r="I1678">
        <v>21</v>
      </c>
      <c r="J1678">
        <v>0</v>
      </c>
      <c r="K1678" t="str">
        <f t="shared" si="52"/>
        <v>Young</v>
      </c>
      <c r="L1678" t="str">
        <f t="shared" si="53"/>
        <v>Underweight</v>
      </c>
    </row>
    <row r="1679" spans="1:12" x14ac:dyDescent="0.2">
      <c r="A1679">
        <v>1678</v>
      </c>
      <c r="B1679">
        <v>6</v>
      </c>
      <c r="C1679">
        <v>107</v>
      </c>
      <c r="D1679">
        <v>88</v>
      </c>
      <c r="E1679">
        <v>0</v>
      </c>
      <c r="F1679">
        <v>0</v>
      </c>
      <c r="G1679">
        <v>36.799999999999997</v>
      </c>
      <c r="H1679">
        <v>0.72699999999999998</v>
      </c>
      <c r="I1679">
        <v>31</v>
      </c>
      <c r="J1679">
        <v>0</v>
      </c>
      <c r="K1679" t="str">
        <f t="shared" si="52"/>
        <v>Middle-Aged</v>
      </c>
      <c r="L1679" t="str">
        <f t="shared" si="53"/>
        <v>Obese</v>
      </c>
    </row>
    <row r="1680" spans="1:12" x14ac:dyDescent="0.2">
      <c r="A1680">
        <v>1679</v>
      </c>
      <c r="B1680">
        <v>0</v>
      </c>
      <c r="C1680">
        <v>189</v>
      </c>
      <c r="D1680">
        <v>104</v>
      </c>
      <c r="E1680">
        <v>25</v>
      </c>
      <c r="F1680">
        <v>0</v>
      </c>
      <c r="G1680">
        <v>34.299999999999997</v>
      </c>
      <c r="H1680">
        <v>0.435</v>
      </c>
      <c r="I1680">
        <v>41</v>
      </c>
      <c r="J1680">
        <v>1</v>
      </c>
      <c r="K1680" t="str">
        <f t="shared" si="52"/>
        <v>Middle-Aged</v>
      </c>
      <c r="L1680" t="str">
        <f t="shared" si="53"/>
        <v>Obese</v>
      </c>
    </row>
    <row r="1681" spans="1:12" x14ac:dyDescent="0.2">
      <c r="A1681">
        <v>1680</v>
      </c>
      <c r="B1681">
        <v>2</v>
      </c>
      <c r="C1681">
        <v>83</v>
      </c>
      <c r="D1681">
        <v>66</v>
      </c>
      <c r="E1681">
        <v>23</v>
      </c>
      <c r="F1681">
        <v>50</v>
      </c>
      <c r="G1681">
        <v>32.200000000000003</v>
      </c>
      <c r="H1681">
        <v>0.497</v>
      </c>
      <c r="I1681">
        <v>22</v>
      </c>
      <c r="J1681">
        <v>0</v>
      </c>
      <c r="K1681" t="str">
        <f t="shared" si="52"/>
        <v>Young</v>
      </c>
      <c r="L1681" t="str">
        <f t="shared" si="53"/>
        <v>Obese</v>
      </c>
    </row>
    <row r="1682" spans="1:12" x14ac:dyDescent="0.2">
      <c r="A1682">
        <v>1681</v>
      </c>
      <c r="B1682">
        <v>4</v>
      </c>
      <c r="C1682">
        <v>117</v>
      </c>
      <c r="D1682">
        <v>64</v>
      </c>
      <c r="E1682">
        <v>27</v>
      </c>
      <c r="F1682">
        <v>120</v>
      </c>
      <c r="G1682">
        <v>33.200000000000003</v>
      </c>
      <c r="H1682">
        <v>0.23</v>
      </c>
      <c r="I1682">
        <v>24</v>
      </c>
      <c r="J1682">
        <v>0</v>
      </c>
      <c r="K1682" t="str">
        <f t="shared" si="52"/>
        <v>Young</v>
      </c>
      <c r="L1682" t="str">
        <f t="shared" si="53"/>
        <v>Obese</v>
      </c>
    </row>
    <row r="1683" spans="1:12" x14ac:dyDescent="0.2">
      <c r="A1683">
        <v>1682</v>
      </c>
      <c r="B1683">
        <v>8</v>
      </c>
      <c r="C1683">
        <v>108</v>
      </c>
      <c r="D1683">
        <v>70</v>
      </c>
      <c r="E1683">
        <v>0</v>
      </c>
      <c r="F1683">
        <v>0</v>
      </c>
      <c r="G1683">
        <v>30.5</v>
      </c>
      <c r="H1683">
        <v>0.95499999999999996</v>
      </c>
      <c r="I1683">
        <v>33</v>
      </c>
      <c r="J1683">
        <v>1</v>
      </c>
      <c r="K1683" t="str">
        <f t="shared" si="52"/>
        <v>Middle-Aged</v>
      </c>
      <c r="L1683" t="str">
        <f t="shared" si="53"/>
        <v>Obese</v>
      </c>
    </row>
    <row r="1684" spans="1:12" x14ac:dyDescent="0.2">
      <c r="A1684">
        <v>1683</v>
      </c>
      <c r="B1684">
        <v>4</v>
      </c>
      <c r="C1684">
        <v>117</v>
      </c>
      <c r="D1684">
        <v>62</v>
      </c>
      <c r="E1684">
        <v>12</v>
      </c>
      <c r="F1684">
        <v>0</v>
      </c>
      <c r="G1684">
        <v>29.7</v>
      </c>
      <c r="H1684">
        <v>0.38</v>
      </c>
      <c r="I1684">
        <v>30</v>
      </c>
      <c r="J1684">
        <v>1</v>
      </c>
      <c r="K1684" t="str">
        <f t="shared" si="52"/>
        <v>Middle-Aged</v>
      </c>
      <c r="L1684" t="str">
        <f t="shared" si="53"/>
        <v>Overweight</v>
      </c>
    </row>
    <row r="1685" spans="1:12" x14ac:dyDescent="0.2">
      <c r="A1685">
        <v>1684</v>
      </c>
      <c r="B1685">
        <v>0</v>
      </c>
      <c r="C1685">
        <v>180</v>
      </c>
      <c r="D1685">
        <v>78</v>
      </c>
      <c r="E1685">
        <v>63</v>
      </c>
      <c r="F1685">
        <v>14</v>
      </c>
      <c r="G1685">
        <v>59.4</v>
      </c>
      <c r="H1685">
        <v>2.42</v>
      </c>
      <c r="I1685">
        <v>25</v>
      </c>
      <c r="J1685">
        <v>1</v>
      </c>
      <c r="K1685" t="str">
        <f t="shared" si="52"/>
        <v>Young</v>
      </c>
      <c r="L1685" t="str">
        <f t="shared" si="53"/>
        <v>Obese</v>
      </c>
    </row>
    <row r="1686" spans="1:12" x14ac:dyDescent="0.2">
      <c r="A1686">
        <v>1685</v>
      </c>
      <c r="B1686">
        <v>1</v>
      </c>
      <c r="C1686">
        <v>100</v>
      </c>
      <c r="D1686">
        <v>72</v>
      </c>
      <c r="E1686">
        <v>12</v>
      </c>
      <c r="F1686">
        <v>70</v>
      </c>
      <c r="G1686">
        <v>25.3</v>
      </c>
      <c r="H1686">
        <v>0.65800000000000003</v>
      </c>
      <c r="I1686">
        <v>28</v>
      </c>
      <c r="J1686">
        <v>0</v>
      </c>
      <c r="K1686" t="str">
        <f t="shared" si="52"/>
        <v>Young</v>
      </c>
      <c r="L1686" t="str">
        <f t="shared" si="53"/>
        <v>Overweight</v>
      </c>
    </row>
    <row r="1687" spans="1:12" x14ac:dyDescent="0.2">
      <c r="A1687">
        <v>1686</v>
      </c>
      <c r="B1687">
        <v>0</v>
      </c>
      <c r="C1687">
        <v>95</v>
      </c>
      <c r="D1687">
        <v>80</v>
      </c>
      <c r="E1687">
        <v>45</v>
      </c>
      <c r="F1687">
        <v>92</v>
      </c>
      <c r="G1687">
        <v>36.5</v>
      </c>
      <c r="H1687">
        <v>0.33</v>
      </c>
      <c r="I1687">
        <v>26</v>
      </c>
      <c r="J1687">
        <v>0</v>
      </c>
      <c r="K1687" t="str">
        <f t="shared" si="52"/>
        <v>Young</v>
      </c>
      <c r="L1687" t="str">
        <f t="shared" si="53"/>
        <v>Obese</v>
      </c>
    </row>
    <row r="1688" spans="1:12" x14ac:dyDescent="0.2">
      <c r="A1688">
        <v>1687</v>
      </c>
      <c r="B1688">
        <v>0</v>
      </c>
      <c r="C1688">
        <v>104</v>
      </c>
      <c r="D1688">
        <v>64</v>
      </c>
      <c r="E1688">
        <v>37</v>
      </c>
      <c r="F1688">
        <v>64</v>
      </c>
      <c r="G1688">
        <v>33.6</v>
      </c>
      <c r="H1688">
        <v>0.51</v>
      </c>
      <c r="I1688">
        <v>22</v>
      </c>
      <c r="J1688">
        <v>1</v>
      </c>
      <c r="K1688" t="str">
        <f t="shared" si="52"/>
        <v>Young</v>
      </c>
      <c r="L1688" t="str">
        <f t="shared" si="53"/>
        <v>Obese</v>
      </c>
    </row>
    <row r="1689" spans="1:12" x14ac:dyDescent="0.2">
      <c r="A1689">
        <v>1688</v>
      </c>
      <c r="B1689">
        <v>0</v>
      </c>
      <c r="C1689">
        <v>120</v>
      </c>
      <c r="D1689">
        <v>74</v>
      </c>
      <c r="E1689">
        <v>18</v>
      </c>
      <c r="F1689">
        <v>63</v>
      </c>
      <c r="G1689">
        <v>30.5</v>
      </c>
      <c r="H1689">
        <v>0.28499999999999998</v>
      </c>
      <c r="I1689">
        <v>26</v>
      </c>
      <c r="J1689">
        <v>0</v>
      </c>
      <c r="K1689" t="str">
        <f t="shared" si="52"/>
        <v>Young</v>
      </c>
      <c r="L1689" t="str">
        <f t="shared" si="53"/>
        <v>Obese</v>
      </c>
    </row>
    <row r="1690" spans="1:12" x14ac:dyDescent="0.2">
      <c r="A1690">
        <v>1689</v>
      </c>
      <c r="B1690">
        <v>1</v>
      </c>
      <c r="C1690">
        <v>82</v>
      </c>
      <c r="D1690">
        <v>64</v>
      </c>
      <c r="E1690">
        <v>13</v>
      </c>
      <c r="F1690">
        <v>95</v>
      </c>
      <c r="G1690">
        <v>21.2</v>
      </c>
      <c r="H1690">
        <v>0.41499999999999998</v>
      </c>
      <c r="I1690">
        <v>23</v>
      </c>
      <c r="J1690">
        <v>0</v>
      </c>
      <c r="K1690" t="str">
        <f t="shared" si="52"/>
        <v>Young</v>
      </c>
      <c r="L1690" t="str">
        <f t="shared" si="53"/>
        <v>Normal</v>
      </c>
    </row>
    <row r="1691" spans="1:12" x14ac:dyDescent="0.2">
      <c r="A1691">
        <v>1690</v>
      </c>
      <c r="B1691">
        <v>2</v>
      </c>
      <c r="C1691">
        <v>134</v>
      </c>
      <c r="D1691">
        <v>70</v>
      </c>
      <c r="E1691">
        <v>0</v>
      </c>
      <c r="F1691">
        <v>0</v>
      </c>
      <c r="G1691">
        <v>28.9</v>
      </c>
      <c r="H1691">
        <v>0.54200000000000004</v>
      </c>
      <c r="I1691">
        <v>23</v>
      </c>
      <c r="J1691">
        <v>1</v>
      </c>
      <c r="K1691" t="str">
        <f t="shared" si="52"/>
        <v>Young</v>
      </c>
      <c r="L1691" t="str">
        <f t="shared" si="53"/>
        <v>Overweight</v>
      </c>
    </row>
    <row r="1692" spans="1:12" x14ac:dyDescent="0.2">
      <c r="A1692">
        <v>1691</v>
      </c>
      <c r="B1692">
        <v>0</v>
      </c>
      <c r="C1692">
        <v>91</v>
      </c>
      <c r="D1692">
        <v>68</v>
      </c>
      <c r="E1692">
        <v>32</v>
      </c>
      <c r="F1692">
        <v>210</v>
      </c>
      <c r="G1692">
        <v>39.9</v>
      </c>
      <c r="H1692">
        <v>0.38100000000000001</v>
      </c>
      <c r="I1692">
        <v>25</v>
      </c>
      <c r="J1692">
        <v>0</v>
      </c>
      <c r="K1692" t="str">
        <f t="shared" si="52"/>
        <v>Young</v>
      </c>
      <c r="L1692" t="str">
        <f t="shared" si="53"/>
        <v>Obese</v>
      </c>
    </row>
    <row r="1693" spans="1:12" x14ac:dyDescent="0.2">
      <c r="A1693">
        <v>1692</v>
      </c>
      <c r="B1693">
        <v>2</v>
      </c>
      <c r="C1693">
        <v>119</v>
      </c>
      <c r="D1693">
        <v>121</v>
      </c>
      <c r="E1693">
        <v>0</v>
      </c>
      <c r="F1693">
        <v>0</v>
      </c>
      <c r="G1693">
        <v>19.600000000000001</v>
      </c>
      <c r="H1693">
        <v>0.83199999999999996</v>
      </c>
      <c r="I1693">
        <v>72</v>
      </c>
      <c r="J1693">
        <v>0</v>
      </c>
      <c r="K1693" t="str">
        <f t="shared" si="52"/>
        <v>Senior</v>
      </c>
      <c r="L1693" t="str">
        <f t="shared" si="53"/>
        <v>Normal</v>
      </c>
    </row>
    <row r="1694" spans="1:12" x14ac:dyDescent="0.2">
      <c r="A1694">
        <v>1693</v>
      </c>
      <c r="B1694">
        <v>2</v>
      </c>
      <c r="C1694">
        <v>100</v>
      </c>
      <c r="D1694">
        <v>54</v>
      </c>
      <c r="E1694">
        <v>28</v>
      </c>
      <c r="F1694">
        <v>105</v>
      </c>
      <c r="G1694">
        <v>37.799999999999997</v>
      </c>
      <c r="H1694">
        <v>0.498</v>
      </c>
      <c r="I1694">
        <v>24</v>
      </c>
      <c r="J1694">
        <v>0</v>
      </c>
      <c r="K1694" t="str">
        <f t="shared" si="52"/>
        <v>Young</v>
      </c>
      <c r="L1694" t="str">
        <f t="shared" si="53"/>
        <v>Obese</v>
      </c>
    </row>
    <row r="1695" spans="1:12" x14ac:dyDescent="0.2">
      <c r="A1695">
        <v>1694</v>
      </c>
      <c r="B1695">
        <v>14</v>
      </c>
      <c r="C1695">
        <v>175</v>
      </c>
      <c r="D1695">
        <v>62</v>
      </c>
      <c r="E1695">
        <v>30</v>
      </c>
      <c r="F1695">
        <v>0</v>
      </c>
      <c r="G1695">
        <v>33.6</v>
      </c>
      <c r="H1695">
        <v>0.21199999999999999</v>
      </c>
      <c r="I1695">
        <v>38</v>
      </c>
      <c r="J1695">
        <v>1</v>
      </c>
      <c r="K1695" t="str">
        <f t="shared" si="52"/>
        <v>Middle-Aged</v>
      </c>
      <c r="L1695" t="str">
        <f t="shared" si="53"/>
        <v>Obese</v>
      </c>
    </row>
    <row r="1696" spans="1:12" x14ac:dyDescent="0.2">
      <c r="A1696">
        <v>1695</v>
      </c>
      <c r="B1696">
        <v>1</v>
      </c>
      <c r="C1696">
        <v>135</v>
      </c>
      <c r="D1696">
        <v>54</v>
      </c>
      <c r="E1696">
        <v>0</v>
      </c>
      <c r="F1696">
        <v>0</v>
      </c>
      <c r="G1696">
        <v>26.7</v>
      </c>
      <c r="H1696">
        <v>0.68700000000000006</v>
      </c>
      <c r="I1696">
        <v>62</v>
      </c>
      <c r="J1696">
        <v>0</v>
      </c>
      <c r="K1696" t="str">
        <f t="shared" si="52"/>
        <v>Senior</v>
      </c>
      <c r="L1696" t="str">
        <f t="shared" si="53"/>
        <v>Overweight</v>
      </c>
    </row>
    <row r="1697" spans="1:12" x14ac:dyDescent="0.2">
      <c r="A1697">
        <v>1696</v>
      </c>
      <c r="B1697">
        <v>5</v>
      </c>
      <c r="C1697">
        <v>86</v>
      </c>
      <c r="D1697">
        <v>68</v>
      </c>
      <c r="E1697">
        <v>28</v>
      </c>
      <c r="F1697">
        <v>71</v>
      </c>
      <c r="G1697">
        <v>30.2</v>
      </c>
      <c r="H1697">
        <v>0.36399999999999999</v>
      </c>
      <c r="I1697">
        <v>24</v>
      </c>
      <c r="J1697">
        <v>0</v>
      </c>
      <c r="K1697" t="str">
        <f t="shared" si="52"/>
        <v>Young</v>
      </c>
      <c r="L1697" t="str">
        <f t="shared" si="53"/>
        <v>Obese</v>
      </c>
    </row>
    <row r="1698" spans="1:12" x14ac:dyDescent="0.2">
      <c r="A1698">
        <v>1697</v>
      </c>
      <c r="B1698">
        <v>10</v>
      </c>
      <c r="C1698">
        <v>148</v>
      </c>
      <c r="D1698">
        <v>84</v>
      </c>
      <c r="E1698">
        <v>48</v>
      </c>
      <c r="F1698">
        <v>237</v>
      </c>
      <c r="G1698">
        <v>37.6</v>
      </c>
      <c r="H1698">
        <v>1.0009999999999999</v>
      </c>
      <c r="I1698">
        <v>51</v>
      </c>
      <c r="J1698">
        <v>1</v>
      </c>
      <c r="K1698" t="str">
        <f t="shared" si="52"/>
        <v>Senior</v>
      </c>
      <c r="L1698" t="str">
        <f t="shared" si="53"/>
        <v>Obese</v>
      </c>
    </row>
    <row r="1699" spans="1:12" x14ac:dyDescent="0.2">
      <c r="A1699">
        <v>1698</v>
      </c>
      <c r="B1699">
        <v>9</v>
      </c>
      <c r="C1699">
        <v>134</v>
      </c>
      <c r="D1699">
        <v>74</v>
      </c>
      <c r="E1699">
        <v>33</v>
      </c>
      <c r="F1699">
        <v>60</v>
      </c>
      <c r="G1699">
        <v>25.9</v>
      </c>
      <c r="H1699">
        <v>0.46</v>
      </c>
      <c r="I1699">
        <v>81</v>
      </c>
      <c r="J1699">
        <v>0</v>
      </c>
      <c r="K1699" t="str">
        <f t="shared" si="52"/>
        <v>Senior</v>
      </c>
      <c r="L1699" t="str">
        <f t="shared" si="53"/>
        <v>Overweight</v>
      </c>
    </row>
    <row r="1700" spans="1:12" x14ac:dyDescent="0.2">
      <c r="A1700">
        <v>1699</v>
      </c>
      <c r="B1700">
        <v>9</v>
      </c>
      <c r="C1700">
        <v>120</v>
      </c>
      <c r="D1700">
        <v>72</v>
      </c>
      <c r="E1700">
        <v>22</v>
      </c>
      <c r="F1700">
        <v>56</v>
      </c>
      <c r="G1700">
        <v>20.8</v>
      </c>
      <c r="H1700">
        <v>0.73299999999999998</v>
      </c>
      <c r="I1700">
        <v>48</v>
      </c>
      <c r="J1700">
        <v>0</v>
      </c>
      <c r="K1700" t="str">
        <f t="shared" si="52"/>
        <v>Senior</v>
      </c>
      <c r="L1700" t="str">
        <f t="shared" si="53"/>
        <v>Normal</v>
      </c>
    </row>
    <row r="1701" spans="1:12" x14ac:dyDescent="0.2">
      <c r="A1701">
        <v>1700</v>
      </c>
      <c r="B1701">
        <v>1</v>
      </c>
      <c r="C1701">
        <v>71</v>
      </c>
      <c r="D1701">
        <v>62</v>
      </c>
      <c r="E1701">
        <v>0</v>
      </c>
      <c r="F1701">
        <v>0</v>
      </c>
      <c r="G1701">
        <v>21.8</v>
      </c>
      <c r="H1701">
        <v>0.41599999999999998</v>
      </c>
      <c r="I1701">
        <v>26</v>
      </c>
      <c r="J1701">
        <v>0</v>
      </c>
      <c r="K1701" t="str">
        <f t="shared" si="52"/>
        <v>Young</v>
      </c>
      <c r="L1701" t="str">
        <f t="shared" si="53"/>
        <v>Normal</v>
      </c>
    </row>
    <row r="1702" spans="1:12" x14ac:dyDescent="0.2">
      <c r="A1702">
        <v>1701</v>
      </c>
      <c r="B1702">
        <v>8</v>
      </c>
      <c r="C1702">
        <v>74</v>
      </c>
      <c r="D1702">
        <v>70</v>
      </c>
      <c r="E1702">
        <v>40</v>
      </c>
      <c r="F1702">
        <v>49</v>
      </c>
      <c r="G1702">
        <v>35.299999999999997</v>
      </c>
      <c r="H1702">
        <v>0.70499999999999996</v>
      </c>
      <c r="I1702">
        <v>39</v>
      </c>
      <c r="J1702">
        <v>0</v>
      </c>
      <c r="K1702" t="str">
        <f t="shared" si="52"/>
        <v>Middle-Aged</v>
      </c>
      <c r="L1702" t="str">
        <f t="shared" si="53"/>
        <v>Obese</v>
      </c>
    </row>
    <row r="1703" spans="1:12" x14ac:dyDescent="0.2">
      <c r="A1703">
        <v>1702</v>
      </c>
      <c r="B1703">
        <v>5</v>
      </c>
      <c r="C1703">
        <v>88</v>
      </c>
      <c r="D1703">
        <v>78</v>
      </c>
      <c r="E1703">
        <v>30</v>
      </c>
      <c r="F1703">
        <v>0</v>
      </c>
      <c r="G1703">
        <v>27.6</v>
      </c>
      <c r="H1703">
        <v>0.25800000000000001</v>
      </c>
      <c r="I1703">
        <v>37</v>
      </c>
      <c r="J1703">
        <v>0</v>
      </c>
      <c r="K1703" t="str">
        <f t="shared" si="52"/>
        <v>Middle-Aged</v>
      </c>
      <c r="L1703" t="str">
        <f t="shared" si="53"/>
        <v>Overweight</v>
      </c>
    </row>
    <row r="1704" spans="1:12" x14ac:dyDescent="0.2">
      <c r="A1704">
        <v>1703</v>
      </c>
      <c r="B1704">
        <v>10</v>
      </c>
      <c r="C1704">
        <v>115</v>
      </c>
      <c r="D1704">
        <v>98</v>
      </c>
      <c r="E1704">
        <v>0</v>
      </c>
      <c r="F1704">
        <v>0</v>
      </c>
      <c r="G1704">
        <v>24</v>
      </c>
      <c r="H1704">
        <v>1.022</v>
      </c>
      <c r="I1704">
        <v>34</v>
      </c>
      <c r="J1704">
        <v>0</v>
      </c>
      <c r="K1704" t="str">
        <f t="shared" si="52"/>
        <v>Middle-Aged</v>
      </c>
      <c r="L1704" t="str">
        <f t="shared" si="53"/>
        <v>Normal</v>
      </c>
    </row>
    <row r="1705" spans="1:12" x14ac:dyDescent="0.2">
      <c r="A1705">
        <v>1704</v>
      </c>
      <c r="B1705">
        <v>0</v>
      </c>
      <c r="C1705">
        <v>124</v>
      </c>
      <c r="D1705">
        <v>56</v>
      </c>
      <c r="E1705">
        <v>13</v>
      </c>
      <c r="F1705">
        <v>105</v>
      </c>
      <c r="G1705">
        <v>21.8</v>
      </c>
      <c r="H1705">
        <v>0.45200000000000001</v>
      </c>
      <c r="I1705">
        <v>21</v>
      </c>
      <c r="J1705">
        <v>0</v>
      </c>
      <c r="K1705" t="str">
        <f t="shared" si="52"/>
        <v>Young</v>
      </c>
      <c r="L1705" t="str">
        <f t="shared" si="53"/>
        <v>Normal</v>
      </c>
    </row>
    <row r="1706" spans="1:12" x14ac:dyDescent="0.2">
      <c r="A1706">
        <v>1705</v>
      </c>
      <c r="B1706">
        <v>0</v>
      </c>
      <c r="C1706">
        <v>74</v>
      </c>
      <c r="D1706">
        <v>52</v>
      </c>
      <c r="E1706">
        <v>10</v>
      </c>
      <c r="F1706">
        <v>36</v>
      </c>
      <c r="G1706">
        <v>27.8</v>
      </c>
      <c r="H1706">
        <v>0.26900000000000002</v>
      </c>
      <c r="I1706">
        <v>22</v>
      </c>
      <c r="J1706">
        <v>0</v>
      </c>
      <c r="K1706" t="str">
        <f t="shared" si="52"/>
        <v>Young</v>
      </c>
      <c r="L1706" t="str">
        <f t="shared" si="53"/>
        <v>Overweight</v>
      </c>
    </row>
    <row r="1707" spans="1:12" x14ac:dyDescent="0.2">
      <c r="A1707">
        <v>1706</v>
      </c>
      <c r="B1707">
        <v>0</v>
      </c>
      <c r="C1707">
        <v>97</v>
      </c>
      <c r="D1707">
        <v>64</v>
      </c>
      <c r="E1707">
        <v>36</v>
      </c>
      <c r="F1707">
        <v>100</v>
      </c>
      <c r="G1707">
        <v>36.799999999999997</v>
      </c>
      <c r="H1707">
        <v>0.6</v>
      </c>
      <c r="I1707">
        <v>25</v>
      </c>
      <c r="J1707">
        <v>0</v>
      </c>
      <c r="K1707" t="str">
        <f t="shared" si="52"/>
        <v>Young</v>
      </c>
      <c r="L1707" t="str">
        <f t="shared" si="53"/>
        <v>Obese</v>
      </c>
    </row>
    <row r="1708" spans="1:12" x14ac:dyDescent="0.2">
      <c r="A1708">
        <v>1707</v>
      </c>
      <c r="B1708">
        <v>8</v>
      </c>
      <c r="C1708">
        <v>120</v>
      </c>
      <c r="D1708">
        <v>121</v>
      </c>
      <c r="E1708">
        <v>0</v>
      </c>
      <c r="F1708">
        <v>0</v>
      </c>
      <c r="G1708">
        <v>30</v>
      </c>
      <c r="H1708">
        <v>0.183</v>
      </c>
      <c r="I1708">
        <v>38</v>
      </c>
      <c r="J1708">
        <v>1</v>
      </c>
      <c r="K1708" t="str">
        <f t="shared" si="52"/>
        <v>Middle-Aged</v>
      </c>
      <c r="L1708" t="str">
        <f t="shared" si="53"/>
        <v>Obese</v>
      </c>
    </row>
    <row r="1709" spans="1:12" x14ac:dyDescent="0.2">
      <c r="A1709">
        <v>1708</v>
      </c>
      <c r="B1709">
        <v>6</v>
      </c>
      <c r="C1709">
        <v>154</v>
      </c>
      <c r="D1709">
        <v>78</v>
      </c>
      <c r="E1709">
        <v>41</v>
      </c>
      <c r="F1709">
        <v>140</v>
      </c>
      <c r="G1709">
        <v>46.1</v>
      </c>
      <c r="H1709">
        <v>0.57099999999999995</v>
      </c>
      <c r="I1709">
        <v>27</v>
      </c>
      <c r="J1709">
        <v>0</v>
      </c>
      <c r="K1709" t="str">
        <f t="shared" si="52"/>
        <v>Young</v>
      </c>
      <c r="L1709" t="str">
        <f t="shared" si="53"/>
        <v>Obese</v>
      </c>
    </row>
    <row r="1710" spans="1:12" x14ac:dyDescent="0.2">
      <c r="A1710">
        <v>1709</v>
      </c>
      <c r="B1710">
        <v>1</v>
      </c>
      <c r="C1710">
        <v>144</v>
      </c>
      <c r="D1710">
        <v>82</v>
      </c>
      <c r="E1710">
        <v>40</v>
      </c>
      <c r="F1710">
        <v>0</v>
      </c>
      <c r="G1710">
        <v>41.3</v>
      </c>
      <c r="H1710">
        <v>0.60699999999999998</v>
      </c>
      <c r="I1710">
        <v>28</v>
      </c>
      <c r="J1710">
        <v>0</v>
      </c>
      <c r="K1710" t="str">
        <f t="shared" si="52"/>
        <v>Young</v>
      </c>
      <c r="L1710" t="str">
        <f t="shared" si="53"/>
        <v>Obese</v>
      </c>
    </row>
    <row r="1711" spans="1:12" x14ac:dyDescent="0.2">
      <c r="A1711">
        <v>1710</v>
      </c>
      <c r="B1711">
        <v>0</v>
      </c>
      <c r="C1711">
        <v>137</v>
      </c>
      <c r="D1711">
        <v>70</v>
      </c>
      <c r="E1711">
        <v>38</v>
      </c>
      <c r="F1711">
        <v>0</v>
      </c>
      <c r="G1711">
        <v>33.200000000000003</v>
      </c>
      <c r="H1711">
        <v>0.17</v>
      </c>
      <c r="I1711">
        <v>22</v>
      </c>
      <c r="J1711">
        <v>0</v>
      </c>
      <c r="K1711" t="str">
        <f t="shared" si="52"/>
        <v>Young</v>
      </c>
      <c r="L1711" t="str">
        <f t="shared" si="53"/>
        <v>Obese</v>
      </c>
    </row>
    <row r="1712" spans="1:12" x14ac:dyDescent="0.2">
      <c r="A1712">
        <v>1711</v>
      </c>
      <c r="B1712">
        <v>0</v>
      </c>
      <c r="C1712">
        <v>119</v>
      </c>
      <c r="D1712">
        <v>66</v>
      </c>
      <c r="E1712">
        <v>27</v>
      </c>
      <c r="F1712">
        <v>0</v>
      </c>
      <c r="G1712">
        <v>38.799999999999997</v>
      </c>
      <c r="H1712">
        <v>0.25900000000000001</v>
      </c>
      <c r="I1712">
        <v>22</v>
      </c>
      <c r="J1712">
        <v>0</v>
      </c>
      <c r="K1712" t="str">
        <f t="shared" si="52"/>
        <v>Young</v>
      </c>
      <c r="L1712" t="str">
        <f t="shared" si="53"/>
        <v>Obese</v>
      </c>
    </row>
    <row r="1713" spans="1:12" x14ac:dyDescent="0.2">
      <c r="A1713">
        <v>1712</v>
      </c>
      <c r="B1713">
        <v>7</v>
      </c>
      <c r="C1713">
        <v>136</v>
      </c>
      <c r="D1713">
        <v>90</v>
      </c>
      <c r="E1713">
        <v>0</v>
      </c>
      <c r="F1713">
        <v>0</v>
      </c>
      <c r="G1713">
        <v>29.9</v>
      </c>
      <c r="H1713">
        <v>0.21</v>
      </c>
      <c r="I1713">
        <v>50</v>
      </c>
      <c r="J1713">
        <v>0</v>
      </c>
      <c r="K1713" t="str">
        <f t="shared" si="52"/>
        <v>Senior</v>
      </c>
      <c r="L1713" t="str">
        <f t="shared" si="53"/>
        <v>Overweight</v>
      </c>
    </row>
    <row r="1714" spans="1:12" x14ac:dyDescent="0.2">
      <c r="A1714">
        <v>1713</v>
      </c>
      <c r="B1714">
        <v>4</v>
      </c>
      <c r="C1714">
        <v>114</v>
      </c>
      <c r="D1714">
        <v>64</v>
      </c>
      <c r="E1714">
        <v>0</v>
      </c>
      <c r="F1714">
        <v>0</v>
      </c>
      <c r="G1714">
        <v>28.9</v>
      </c>
      <c r="H1714">
        <v>0.126</v>
      </c>
      <c r="I1714">
        <v>24</v>
      </c>
      <c r="J1714">
        <v>0</v>
      </c>
      <c r="K1714" t="str">
        <f t="shared" si="52"/>
        <v>Young</v>
      </c>
      <c r="L1714" t="str">
        <f t="shared" si="53"/>
        <v>Overweight</v>
      </c>
    </row>
    <row r="1715" spans="1:12" x14ac:dyDescent="0.2">
      <c r="A1715">
        <v>1714</v>
      </c>
      <c r="B1715">
        <v>0</v>
      </c>
      <c r="C1715">
        <v>137</v>
      </c>
      <c r="D1715">
        <v>84</v>
      </c>
      <c r="E1715">
        <v>27</v>
      </c>
      <c r="F1715">
        <v>0</v>
      </c>
      <c r="G1715">
        <v>27.3</v>
      </c>
      <c r="H1715">
        <v>0.23100000000000001</v>
      </c>
      <c r="I1715">
        <v>59</v>
      </c>
      <c r="J1715">
        <v>0</v>
      </c>
      <c r="K1715" t="str">
        <f t="shared" si="52"/>
        <v>Senior</v>
      </c>
      <c r="L1715" t="str">
        <f t="shared" si="53"/>
        <v>Overweight</v>
      </c>
    </row>
    <row r="1716" spans="1:12" x14ac:dyDescent="0.2">
      <c r="A1716">
        <v>1715</v>
      </c>
      <c r="B1716">
        <v>2</v>
      </c>
      <c r="C1716">
        <v>105</v>
      </c>
      <c r="D1716">
        <v>80</v>
      </c>
      <c r="E1716">
        <v>45</v>
      </c>
      <c r="F1716">
        <v>191</v>
      </c>
      <c r="G1716">
        <v>33.700000000000003</v>
      </c>
      <c r="H1716">
        <v>0.71099999999999997</v>
      </c>
      <c r="I1716">
        <v>29</v>
      </c>
      <c r="J1716">
        <v>1</v>
      </c>
      <c r="K1716" t="str">
        <f t="shared" si="52"/>
        <v>Young</v>
      </c>
      <c r="L1716" t="str">
        <f t="shared" si="53"/>
        <v>Obese</v>
      </c>
    </row>
    <row r="1717" spans="1:12" x14ac:dyDescent="0.2">
      <c r="A1717">
        <v>1716</v>
      </c>
      <c r="B1717">
        <v>7</v>
      </c>
      <c r="C1717">
        <v>114</v>
      </c>
      <c r="D1717">
        <v>76</v>
      </c>
      <c r="E1717">
        <v>17</v>
      </c>
      <c r="F1717">
        <v>110</v>
      </c>
      <c r="G1717">
        <v>23.8</v>
      </c>
      <c r="H1717">
        <v>0.46600000000000003</v>
      </c>
      <c r="I1717">
        <v>31</v>
      </c>
      <c r="J1717">
        <v>0</v>
      </c>
      <c r="K1717" t="str">
        <f t="shared" si="52"/>
        <v>Middle-Aged</v>
      </c>
      <c r="L1717" t="str">
        <f t="shared" si="53"/>
        <v>Normal</v>
      </c>
    </row>
    <row r="1718" spans="1:12" x14ac:dyDescent="0.2">
      <c r="A1718">
        <v>1717</v>
      </c>
      <c r="B1718">
        <v>8</v>
      </c>
      <c r="C1718">
        <v>126</v>
      </c>
      <c r="D1718">
        <v>74</v>
      </c>
      <c r="E1718">
        <v>38</v>
      </c>
      <c r="F1718">
        <v>75</v>
      </c>
      <c r="G1718">
        <v>25.9</v>
      </c>
      <c r="H1718">
        <v>0.16200000000000001</v>
      </c>
      <c r="I1718">
        <v>39</v>
      </c>
      <c r="J1718">
        <v>0</v>
      </c>
      <c r="K1718" t="str">
        <f t="shared" si="52"/>
        <v>Middle-Aged</v>
      </c>
      <c r="L1718" t="str">
        <f t="shared" si="53"/>
        <v>Overweight</v>
      </c>
    </row>
    <row r="1719" spans="1:12" x14ac:dyDescent="0.2">
      <c r="A1719">
        <v>1718</v>
      </c>
      <c r="B1719">
        <v>4</v>
      </c>
      <c r="C1719">
        <v>132</v>
      </c>
      <c r="D1719">
        <v>86</v>
      </c>
      <c r="E1719">
        <v>31</v>
      </c>
      <c r="F1719">
        <v>0</v>
      </c>
      <c r="G1719">
        <v>28</v>
      </c>
      <c r="H1719">
        <v>0.41899999999999998</v>
      </c>
      <c r="I1719">
        <v>63</v>
      </c>
      <c r="J1719">
        <v>0</v>
      </c>
      <c r="K1719" t="str">
        <f t="shared" si="52"/>
        <v>Senior</v>
      </c>
      <c r="L1719" t="str">
        <f t="shared" si="53"/>
        <v>Overweight</v>
      </c>
    </row>
    <row r="1720" spans="1:12" x14ac:dyDescent="0.2">
      <c r="A1720">
        <v>1719</v>
      </c>
      <c r="B1720">
        <v>3</v>
      </c>
      <c r="C1720">
        <v>158</v>
      </c>
      <c r="D1720">
        <v>70</v>
      </c>
      <c r="E1720">
        <v>30</v>
      </c>
      <c r="F1720">
        <v>328</v>
      </c>
      <c r="G1720">
        <v>35.5</v>
      </c>
      <c r="H1720">
        <v>0.34399999999999997</v>
      </c>
      <c r="I1720">
        <v>35</v>
      </c>
      <c r="J1720">
        <v>1</v>
      </c>
      <c r="K1720" t="str">
        <f t="shared" si="52"/>
        <v>Middle-Aged</v>
      </c>
      <c r="L1720" t="str">
        <f t="shared" si="53"/>
        <v>Obese</v>
      </c>
    </row>
    <row r="1721" spans="1:12" x14ac:dyDescent="0.2">
      <c r="A1721">
        <v>1720</v>
      </c>
      <c r="B1721">
        <v>0</v>
      </c>
      <c r="C1721">
        <v>123</v>
      </c>
      <c r="D1721">
        <v>88</v>
      </c>
      <c r="E1721">
        <v>37</v>
      </c>
      <c r="F1721">
        <v>0</v>
      </c>
      <c r="G1721">
        <v>35.200000000000003</v>
      </c>
      <c r="H1721">
        <v>0.19700000000000001</v>
      </c>
      <c r="I1721">
        <v>29</v>
      </c>
      <c r="J1721">
        <v>0</v>
      </c>
      <c r="K1721" t="str">
        <f t="shared" si="52"/>
        <v>Young</v>
      </c>
      <c r="L1721" t="str">
        <f t="shared" si="53"/>
        <v>Obese</v>
      </c>
    </row>
    <row r="1722" spans="1:12" x14ac:dyDescent="0.2">
      <c r="A1722">
        <v>1721</v>
      </c>
      <c r="B1722">
        <v>4</v>
      </c>
      <c r="C1722">
        <v>85</v>
      </c>
      <c r="D1722">
        <v>58</v>
      </c>
      <c r="E1722">
        <v>22</v>
      </c>
      <c r="F1722">
        <v>49</v>
      </c>
      <c r="G1722">
        <v>27.8</v>
      </c>
      <c r="H1722">
        <v>0.30599999999999999</v>
      </c>
      <c r="I1722">
        <v>28</v>
      </c>
      <c r="J1722">
        <v>0</v>
      </c>
      <c r="K1722" t="str">
        <f t="shared" si="52"/>
        <v>Young</v>
      </c>
      <c r="L1722" t="str">
        <f t="shared" si="53"/>
        <v>Overweight</v>
      </c>
    </row>
    <row r="1723" spans="1:12" x14ac:dyDescent="0.2">
      <c r="A1723">
        <v>1722</v>
      </c>
      <c r="B1723">
        <v>0</v>
      </c>
      <c r="C1723">
        <v>84</v>
      </c>
      <c r="D1723">
        <v>82</v>
      </c>
      <c r="E1723">
        <v>31</v>
      </c>
      <c r="F1723">
        <v>125</v>
      </c>
      <c r="G1723">
        <v>38.200000000000003</v>
      </c>
      <c r="H1723">
        <v>0.23300000000000001</v>
      </c>
      <c r="I1723">
        <v>23</v>
      </c>
      <c r="J1723">
        <v>0</v>
      </c>
      <c r="K1723" t="str">
        <f t="shared" si="52"/>
        <v>Young</v>
      </c>
      <c r="L1723" t="str">
        <f t="shared" si="53"/>
        <v>Obese</v>
      </c>
    </row>
    <row r="1724" spans="1:12" x14ac:dyDescent="0.2">
      <c r="A1724">
        <v>1723</v>
      </c>
      <c r="B1724">
        <v>0</v>
      </c>
      <c r="C1724">
        <v>145</v>
      </c>
      <c r="D1724">
        <v>121</v>
      </c>
      <c r="E1724">
        <v>0</v>
      </c>
      <c r="F1724">
        <v>0</v>
      </c>
      <c r="G1724">
        <v>44.2</v>
      </c>
      <c r="H1724">
        <v>0.63</v>
      </c>
      <c r="I1724">
        <v>31</v>
      </c>
      <c r="J1724">
        <v>1</v>
      </c>
      <c r="K1724" t="str">
        <f t="shared" si="52"/>
        <v>Middle-Aged</v>
      </c>
      <c r="L1724" t="str">
        <f t="shared" si="53"/>
        <v>Obese</v>
      </c>
    </row>
    <row r="1725" spans="1:12" x14ac:dyDescent="0.2">
      <c r="A1725">
        <v>1724</v>
      </c>
      <c r="B1725">
        <v>0</v>
      </c>
      <c r="C1725">
        <v>135</v>
      </c>
      <c r="D1725">
        <v>68</v>
      </c>
      <c r="E1725">
        <v>42</v>
      </c>
      <c r="F1725">
        <v>250</v>
      </c>
      <c r="G1725">
        <v>42.3</v>
      </c>
      <c r="H1725">
        <v>0.36499999999999999</v>
      </c>
      <c r="I1725">
        <v>24</v>
      </c>
      <c r="J1725">
        <v>1</v>
      </c>
      <c r="K1725" t="str">
        <f t="shared" si="52"/>
        <v>Young</v>
      </c>
      <c r="L1725" t="str">
        <f t="shared" si="53"/>
        <v>Obese</v>
      </c>
    </row>
    <row r="1726" spans="1:12" x14ac:dyDescent="0.2">
      <c r="A1726">
        <v>1725</v>
      </c>
      <c r="B1726">
        <v>1</v>
      </c>
      <c r="C1726">
        <v>139</v>
      </c>
      <c r="D1726">
        <v>62</v>
      </c>
      <c r="E1726">
        <v>41</v>
      </c>
      <c r="F1726">
        <v>480</v>
      </c>
      <c r="G1726">
        <v>40.700000000000003</v>
      </c>
      <c r="H1726">
        <v>0.53600000000000003</v>
      </c>
      <c r="I1726">
        <v>21</v>
      </c>
      <c r="J1726">
        <v>0</v>
      </c>
      <c r="K1726" t="str">
        <f t="shared" si="52"/>
        <v>Young</v>
      </c>
      <c r="L1726" t="str">
        <f t="shared" si="53"/>
        <v>Obese</v>
      </c>
    </row>
    <row r="1727" spans="1:12" x14ac:dyDescent="0.2">
      <c r="A1727">
        <v>1726</v>
      </c>
      <c r="B1727">
        <v>0</v>
      </c>
      <c r="C1727">
        <v>173</v>
      </c>
      <c r="D1727">
        <v>78</v>
      </c>
      <c r="E1727">
        <v>32</v>
      </c>
      <c r="F1727">
        <v>265</v>
      </c>
      <c r="G1727">
        <v>46.5</v>
      </c>
      <c r="H1727">
        <v>1.159</v>
      </c>
      <c r="I1727">
        <v>58</v>
      </c>
      <c r="J1727">
        <v>0</v>
      </c>
      <c r="K1727" t="str">
        <f t="shared" si="52"/>
        <v>Senior</v>
      </c>
      <c r="L1727" t="str">
        <f t="shared" si="53"/>
        <v>Obese</v>
      </c>
    </row>
    <row r="1728" spans="1:12" x14ac:dyDescent="0.2">
      <c r="A1728">
        <v>1727</v>
      </c>
      <c r="B1728">
        <v>4</v>
      </c>
      <c r="C1728">
        <v>99</v>
      </c>
      <c r="D1728">
        <v>72</v>
      </c>
      <c r="E1728">
        <v>17</v>
      </c>
      <c r="F1728">
        <v>0</v>
      </c>
      <c r="G1728">
        <v>25.6</v>
      </c>
      <c r="H1728">
        <v>0.29399999999999998</v>
      </c>
      <c r="I1728">
        <v>28</v>
      </c>
      <c r="J1728">
        <v>0</v>
      </c>
      <c r="K1728" t="str">
        <f t="shared" si="52"/>
        <v>Young</v>
      </c>
      <c r="L1728" t="str">
        <f t="shared" si="53"/>
        <v>Overweight</v>
      </c>
    </row>
    <row r="1729" spans="1:12" x14ac:dyDescent="0.2">
      <c r="A1729">
        <v>1728</v>
      </c>
      <c r="B1729">
        <v>8</v>
      </c>
      <c r="C1729">
        <v>194</v>
      </c>
      <c r="D1729">
        <v>80</v>
      </c>
      <c r="E1729">
        <v>0</v>
      </c>
      <c r="F1729">
        <v>0</v>
      </c>
      <c r="G1729">
        <v>26.1</v>
      </c>
      <c r="H1729">
        <v>0.55100000000000005</v>
      </c>
      <c r="I1729">
        <v>67</v>
      </c>
      <c r="J1729">
        <v>0</v>
      </c>
      <c r="K1729" t="str">
        <f t="shared" si="52"/>
        <v>Senior</v>
      </c>
      <c r="L1729" t="str">
        <f t="shared" si="53"/>
        <v>Overweight</v>
      </c>
    </row>
    <row r="1730" spans="1:12" x14ac:dyDescent="0.2">
      <c r="A1730">
        <v>1729</v>
      </c>
      <c r="B1730">
        <v>2</v>
      </c>
      <c r="C1730">
        <v>83</v>
      </c>
      <c r="D1730">
        <v>65</v>
      </c>
      <c r="E1730">
        <v>28</v>
      </c>
      <c r="F1730">
        <v>66</v>
      </c>
      <c r="G1730">
        <v>36.799999999999997</v>
      </c>
      <c r="H1730">
        <v>0.629</v>
      </c>
      <c r="I1730">
        <v>24</v>
      </c>
      <c r="J1730">
        <v>0</v>
      </c>
      <c r="K1730" t="str">
        <f t="shared" si="52"/>
        <v>Young</v>
      </c>
      <c r="L1730" t="str">
        <f t="shared" si="53"/>
        <v>Obese</v>
      </c>
    </row>
    <row r="1731" spans="1:12" x14ac:dyDescent="0.2">
      <c r="A1731">
        <v>1730</v>
      </c>
      <c r="B1731">
        <v>2</v>
      </c>
      <c r="C1731">
        <v>89</v>
      </c>
      <c r="D1731">
        <v>90</v>
      </c>
      <c r="E1731">
        <v>30</v>
      </c>
      <c r="F1731">
        <v>0</v>
      </c>
      <c r="G1731">
        <v>33.5</v>
      </c>
      <c r="H1731">
        <v>0.29199999999999998</v>
      </c>
      <c r="I1731">
        <v>42</v>
      </c>
      <c r="J1731">
        <v>0</v>
      </c>
      <c r="K1731" t="str">
        <f t="shared" ref="K1731:K1794" si="54">IF(I1731&lt;30, "Young", IF( I1731&lt;45, "Middle-Aged", "Senior"))</f>
        <v>Middle-Aged</v>
      </c>
      <c r="L1731" t="str">
        <f t="shared" ref="L1731:L1794" si="55">IF(G1731&lt;18.5, "Underweight", IF(G1731&lt;25, "Normal", IF(G1731&lt;30, "Overweight", "Obese")))</f>
        <v>Obese</v>
      </c>
    </row>
    <row r="1732" spans="1:12" x14ac:dyDescent="0.2">
      <c r="A1732">
        <v>1731</v>
      </c>
      <c r="B1732">
        <v>4</v>
      </c>
      <c r="C1732">
        <v>99</v>
      </c>
      <c r="D1732">
        <v>68</v>
      </c>
      <c r="E1732">
        <v>38</v>
      </c>
      <c r="F1732">
        <v>0</v>
      </c>
      <c r="G1732">
        <v>32.799999999999997</v>
      </c>
      <c r="H1732">
        <v>0.14499999999999999</v>
      </c>
      <c r="I1732">
        <v>33</v>
      </c>
      <c r="J1732">
        <v>0</v>
      </c>
      <c r="K1732" t="str">
        <f t="shared" si="54"/>
        <v>Middle-Aged</v>
      </c>
      <c r="L1732" t="str">
        <f t="shared" si="55"/>
        <v>Obese</v>
      </c>
    </row>
    <row r="1733" spans="1:12" x14ac:dyDescent="0.2">
      <c r="A1733">
        <v>1732</v>
      </c>
      <c r="B1733">
        <v>4</v>
      </c>
      <c r="C1733">
        <v>125</v>
      </c>
      <c r="D1733">
        <v>70</v>
      </c>
      <c r="E1733">
        <v>18</v>
      </c>
      <c r="F1733">
        <v>122</v>
      </c>
      <c r="G1733">
        <v>28.9</v>
      </c>
      <c r="H1733">
        <v>1.1439999999999999</v>
      </c>
      <c r="I1733">
        <v>45</v>
      </c>
      <c r="J1733">
        <v>1</v>
      </c>
      <c r="K1733" t="str">
        <f t="shared" si="54"/>
        <v>Senior</v>
      </c>
      <c r="L1733" t="str">
        <f t="shared" si="55"/>
        <v>Overweight</v>
      </c>
    </row>
    <row r="1734" spans="1:12" x14ac:dyDescent="0.2">
      <c r="A1734">
        <v>1733</v>
      </c>
      <c r="B1734">
        <v>3</v>
      </c>
      <c r="C1734">
        <v>80</v>
      </c>
      <c r="D1734">
        <v>121</v>
      </c>
      <c r="E1734">
        <v>0</v>
      </c>
      <c r="F1734">
        <v>0</v>
      </c>
      <c r="G1734">
        <v>121</v>
      </c>
      <c r="H1734">
        <v>0.17399999999999999</v>
      </c>
      <c r="I1734">
        <v>22</v>
      </c>
      <c r="J1734">
        <v>0</v>
      </c>
      <c r="K1734" t="str">
        <f t="shared" si="54"/>
        <v>Young</v>
      </c>
      <c r="L1734" t="str">
        <f t="shared" si="55"/>
        <v>Obese</v>
      </c>
    </row>
    <row r="1735" spans="1:12" x14ac:dyDescent="0.2">
      <c r="A1735">
        <v>1734</v>
      </c>
      <c r="B1735">
        <v>6</v>
      </c>
      <c r="C1735">
        <v>166</v>
      </c>
      <c r="D1735">
        <v>74</v>
      </c>
      <c r="E1735">
        <v>0</v>
      </c>
      <c r="F1735">
        <v>0</v>
      </c>
      <c r="G1735">
        <v>26.6</v>
      </c>
      <c r="H1735">
        <v>0.30399999999999999</v>
      </c>
      <c r="I1735">
        <v>66</v>
      </c>
      <c r="J1735">
        <v>0</v>
      </c>
      <c r="K1735" t="str">
        <f t="shared" si="54"/>
        <v>Senior</v>
      </c>
      <c r="L1735" t="str">
        <f t="shared" si="55"/>
        <v>Overweight</v>
      </c>
    </row>
    <row r="1736" spans="1:12" x14ac:dyDescent="0.2">
      <c r="A1736">
        <v>1735</v>
      </c>
      <c r="B1736">
        <v>5</v>
      </c>
      <c r="C1736">
        <v>110</v>
      </c>
      <c r="D1736">
        <v>68</v>
      </c>
      <c r="E1736">
        <v>0</v>
      </c>
      <c r="F1736">
        <v>0</v>
      </c>
      <c r="G1736">
        <v>26</v>
      </c>
      <c r="H1736">
        <v>0.29199999999999998</v>
      </c>
      <c r="I1736">
        <v>30</v>
      </c>
      <c r="J1736">
        <v>0</v>
      </c>
      <c r="K1736" t="str">
        <f t="shared" si="54"/>
        <v>Middle-Aged</v>
      </c>
      <c r="L1736" t="str">
        <f t="shared" si="55"/>
        <v>Overweight</v>
      </c>
    </row>
    <row r="1737" spans="1:12" x14ac:dyDescent="0.2">
      <c r="A1737">
        <v>1736</v>
      </c>
      <c r="B1737">
        <v>2</v>
      </c>
      <c r="C1737">
        <v>81</v>
      </c>
      <c r="D1737">
        <v>72</v>
      </c>
      <c r="E1737">
        <v>15</v>
      </c>
      <c r="F1737">
        <v>76</v>
      </c>
      <c r="G1737">
        <v>30.1</v>
      </c>
      <c r="H1737">
        <v>0.54700000000000004</v>
      </c>
      <c r="I1737">
        <v>25</v>
      </c>
      <c r="J1737">
        <v>0</v>
      </c>
      <c r="K1737" t="str">
        <f t="shared" si="54"/>
        <v>Young</v>
      </c>
      <c r="L1737" t="str">
        <f t="shared" si="55"/>
        <v>Obese</v>
      </c>
    </row>
    <row r="1738" spans="1:12" x14ac:dyDescent="0.2">
      <c r="A1738">
        <v>1737</v>
      </c>
      <c r="B1738">
        <v>7</v>
      </c>
      <c r="C1738">
        <v>195</v>
      </c>
      <c r="D1738">
        <v>70</v>
      </c>
      <c r="E1738">
        <v>33</v>
      </c>
      <c r="F1738">
        <v>145</v>
      </c>
      <c r="G1738">
        <v>25.1</v>
      </c>
      <c r="H1738">
        <v>0.16300000000000001</v>
      </c>
      <c r="I1738">
        <v>55</v>
      </c>
      <c r="J1738">
        <v>1</v>
      </c>
      <c r="K1738" t="str">
        <f t="shared" si="54"/>
        <v>Senior</v>
      </c>
      <c r="L1738" t="str">
        <f t="shared" si="55"/>
        <v>Overweight</v>
      </c>
    </row>
    <row r="1739" spans="1:12" x14ac:dyDescent="0.2">
      <c r="A1739">
        <v>1738</v>
      </c>
      <c r="B1739">
        <v>6</v>
      </c>
      <c r="C1739">
        <v>154</v>
      </c>
      <c r="D1739">
        <v>74</v>
      </c>
      <c r="E1739">
        <v>32</v>
      </c>
      <c r="F1739">
        <v>193</v>
      </c>
      <c r="G1739">
        <v>29.3</v>
      </c>
      <c r="H1739">
        <v>0.83899999999999997</v>
      </c>
      <c r="I1739">
        <v>39</v>
      </c>
      <c r="J1739">
        <v>0</v>
      </c>
      <c r="K1739" t="str">
        <f t="shared" si="54"/>
        <v>Middle-Aged</v>
      </c>
      <c r="L1739" t="str">
        <f t="shared" si="55"/>
        <v>Overweight</v>
      </c>
    </row>
    <row r="1740" spans="1:12" x14ac:dyDescent="0.2">
      <c r="A1740">
        <v>1739</v>
      </c>
      <c r="B1740">
        <v>2</v>
      </c>
      <c r="C1740">
        <v>117</v>
      </c>
      <c r="D1740">
        <v>90</v>
      </c>
      <c r="E1740">
        <v>19</v>
      </c>
      <c r="F1740">
        <v>71</v>
      </c>
      <c r="G1740">
        <v>25.2</v>
      </c>
      <c r="H1740">
        <v>0.313</v>
      </c>
      <c r="I1740">
        <v>21</v>
      </c>
      <c r="J1740">
        <v>0</v>
      </c>
      <c r="K1740" t="str">
        <f t="shared" si="54"/>
        <v>Young</v>
      </c>
      <c r="L1740" t="str">
        <f t="shared" si="55"/>
        <v>Overweight</v>
      </c>
    </row>
    <row r="1741" spans="1:12" x14ac:dyDescent="0.2">
      <c r="A1741">
        <v>1740</v>
      </c>
      <c r="B1741">
        <v>3</v>
      </c>
      <c r="C1741">
        <v>84</v>
      </c>
      <c r="D1741">
        <v>72</v>
      </c>
      <c r="E1741">
        <v>32</v>
      </c>
      <c r="F1741">
        <v>0</v>
      </c>
      <c r="G1741">
        <v>37.200000000000003</v>
      </c>
      <c r="H1741">
        <v>0.26700000000000002</v>
      </c>
      <c r="I1741">
        <v>28</v>
      </c>
      <c r="J1741">
        <v>0</v>
      </c>
      <c r="K1741" t="str">
        <f t="shared" si="54"/>
        <v>Young</v>
      </c>
      <c r="L1741" t="str">
        <f t="shared" si="55"/>
        <v>Obese</v>
      </c>
    </row>
    <row r="1742" spans="1:12" x14ac:dyDescent="0.2">
      <c r="A1742">
        <v>1741</v>
      </c>
      <c r="B1742">
        <v>6</v>
      </c>
      <c r="C1742">
        <v>121</v>
      </c>
      <c r="D1742">
        <v>68</v>
      </c>
      <c r="E1742">
        <v>41</v>
      </c>
      <c r="F1742">
        <v>0</v>
      </c>
      <c r="G1742">
        <v>39</v>
      </c>
      <c r="H1742">
        <v>0.72699999999999998</v>
      </c>
      <c r="I1742">
        <v>41</v>
      </c>
      <c r="J1742">
        <v>1</v>
      </c>
      <c r="K1742" t="str">
        <f t="shared" si="54"/>
        <v>Middle-Aged</v>
      </c>
      <c r="L1742" t="str">
        <f t="shared" si="55"/>
        <v>Obese</v>
      </c>
    </row>
    <row r="1743" spans="1:12" x14ac:dyDescent="0.2">
      <c r="A1743">
        <v>1742</v>
      </c>
      <c r="B1743">
        <v>7</v>
      </c>
      <c r="C1743">
        <v>94</v>
      </c>
      <c r="D1743">
        <v>64</v>
      </c>
      <c r="E1743">
        <v>25</v>
      </c>
      <c r="F1743">
        <v>79</v>
      </c>
      <c r="G1743">
        <v>33.299999999999997</v>
      </c>
      <c r="H1743">
        <v>0.73799999999999999</v>
      </c>
      <c r="I1743">
        <v>41</v>
      </c>
      <c r="J1743">
        <v>0</v>
      </c>
      <c r="K1743" t="str">
        <f t="shared" si="54"/>
        <v>Middle-Aged</v>
      </c>
      <c r="L1743" t="str">
        <f t="shared" si="55"/>
        <v>Obese</v>
      </c>
    </row>
    <row r="1744" spans="1:12" x14ac:dyDescent="0.2">
      <c r="A1744">
        <v>1743</v>
      </c>
      <c r="B1744">
        <v>3</v>
      </c>
      <c r="C1744">
        <v>96</v>
      </c>
      <c r="D1744">
        <v>78</v>
      </c>
      <c r="E1744">
        <v>39</v>
      </c>
      <c r="F1744">
        <v>0</v>
      </c>
      <c r="G1744">
        <v>37.299999999999997</v>
      </c>
      <c r="H1744">
        <v>0.23799999999999999</v>
      </c>
      <c r="I1744">
        <v>40</v>
      </c>
      <c r="J1744">
        <v>0</v>
      </c>
      <c r="K1744" t="str">
        <f t="shared" si="54"/>
        <v>Middle-Aged</v>
      </c>
      <c r="L1744" t="str">
        <f t="shared" si="55"/>
        <v>Obese</v>
      </c>
    </row>
    <row r="1745" spans="1:12" x14ac:dyDescent="0.2">
      <c r="A1745">
        <v>1744</v>
      </c>
      <c r="B1745">
        <v>10</v>
      </c>
      <c r="C1745">
        <v>75</v>
      </c>
      <c r="D1745">
        <v>82</v>
      </c>
      <c r="E1745">
        <v>0</v>
      </c>
      <c r="F1745">
        <v>0</v>
      </c>
      <c r="G1745">
        <v>33.299999999999997</v>
      </c>
      <c r="H1745">
        <v>0.26300000000000001</v>
      </c>
      <c r="I1745">
        <v>38</v>
      </c>
      <c r="J1745">
        <v>0</v>
      </c>
      <c r="K1745" t="str">
        <f t="shared" si="54"/>
        <v>Middle-Aged</v>
      </c>
      <c r="L1745" t="str">
        <f t="shared" si="55"/>
        <v>Obese</v>
      </c>
    </row>
    <row r="1746" spans="1:12" x14ac:dyDescent="0.2">
      <c r="A1746">
        <v>1745</v>
      </c>
      <c r="B1746">
        <v>0</v>
      </c>
      <c r="C1746">
        <v>180</v>
      </c>
      <c r="D1746">
        <v>90</v>
      </c>
      <c r="E1746">
        <v>26</v>
      </c>
      <c r="F1746">
        <v>90</v>
      </c>
      <c r="G1746">
        <v>36.5</v>
      </c>
      <c r="H1746">
        <v>0.314</v>
      </c>
      <c r="I1746">
        <v>35</v>
      </c>
      <c r="J1746">
        <v>1</v>
      </c>
      <c r="K1746" t="str">
        <f t="shared" si="54"/>
        <v>Middle-Aged</v>
      </c>
      <c r="L1746" t="str">
        <f t="shared" si="55"/>
        <v>Obese</v>
      </c>
    </row>
    <row r="1747" spans="1:12" x14ac:dyDescent="0.2">
      <c r="A1747">
        <v>1746</v>
      </c>
      <c r="B1747">
        <v>1</v>
      </c>
      <c r="C1747">
        <v>130</v>
      </c>
      <c r="D1747">
        <v>60</v>
      </c>
      <c r="E1747">
        <v>23</v>
      </c>
      <c r="F1747">
        <v>170</v>
      </c>
      <c r="G1747">
        <v>28.6</v>
      </c>
      <c r="H1747">
        <v>0.69199999999999995</v>
      </c>
      <c r="I1747">
        <v>21</v>
      </c>
      <c r="J1747">
        <v>0</v>
      </c>
      <c r="K1747" t="str">
        <f t="shared" si="54"/>
        <v>Young</v>
      </c>
      <c r="L1747" t="str">
        <f t="shared" si="55"/>
        <v>Overweight</v>
      </c>
    </row>
    <row r="1748" spans="1:12" x14ac:dyDescent="0.2">
      <c r="A1748">
        <v>1747</v>
      </c>
      <c r="B1748">
        <v>2</v>
      </c>
      <c r="C1748">
        <v>84</v>
      </c>
      <c r="D1748">
        <v>50</v>
      </c>
      <c r="E1748">
        <v>23</v>
      </c>
      <c r="F1748">
        <v>76</v>
      </c>
      <c r="G1748">
        <v>30.4</v>
      </c>
      <c r="H1748">
        <v>0.96799999999999997</v>
      </c>
      <c r="I1748">
        <v>21</v>
      </c>
      <c r="J1748">
        <v>0</v>
      </c>
      <c r="K1748" t="str">
        <f t="shared" si="54"/>
        <v>Young</v>
      </c>
      <c r="L1748" t="str">
        <f t="shared" si="55"/>
        <v>Obese</v>
      </c>
    </row>
    <row r="1749" spans="1:12" x14ac:dyDescent="0.2">
      <c r="A1749">
        <v>1748</v>
      </c>
      <c r="B1749">
        <v>8</v>
      </c>
      <c r="C1749">
        <v>120</v>
      </c>
      <c r="D1749">
        <v>78</v>
      </c>
      <c r="E1749">
        <v>0</v>
      </c>
      <c r="F1749">
        <v>0</v>
      </c>
      <c r="G1749">
        <v>25</v>
      </c>
      <c r="H1749">
        <v>0.40899999999999997</v>
      </c>
      <c r="I1749">
        <v>64</v>
      </c>
      <c r="J1749">
        <v>0</v>
      </c>
      <c r="K1749" t="str">
        <f t="shared" si="54"/>
        <v>Senior</v>
      </c>
      <c r="L1749" t="str">
        <f t="shared" si="55"/>
        <v>Overweight</v>
      </c>
    </row>
    <row r="1750" spans="1:12" x14ac:dyDescent="0.2">
      <c r="A1750">
        <v>1749</v>
      </c>
      <c r="B1750">
        <v>12</v>
      </c>
      <c r="C1750">
        <v>84</v>
      </c>
      <c r="D1750">
        <v>72</v>
      </c>
      <c r="E1750">
        <v>31</v>
      </c>
      <c r="F1750">
        <v>0</v>
      </c>
      <c r="G1750">
        <v>29.7</v>
      </c>
      <c r="H1750">
        <v>0.29699999999999999</v>
      </c>
      <c r="I1750">
        <v>46</v>
      </c>
      <c r="J1750">
        <v>1</v>
      </c>
      <c r="K1750" t="str">
        <f t="shared" si="54"/>
        <v>Senior</v>
      </c>
      <c r="L1750" t="str">
        <f t="shared" si="55"/>
        <v>Overweight</v>
      </c>
    </row>
    <row r="1751" spans="1:12" x14ac:dyDescent="0.2">
      <c r="A1751">
        <v>1750</v>
      </c>
      <c r="B1751">
        <v>0</v>
      </c>
      <c r="C1751">
        <v>139</v>
      </c>
      <c r="D1751">
        <v>62</v>
      </c>
      <c r="E1751">
        <v>17</v>
      </c>
      <c r="F1751">
        <v>210</v>
      </c>
      <c r="G1751">
        <v>22.1</v>
      </c>
      <c r="H1751">
        <v>0.20699999999999999</v>
      </c>
      <c r="I1751">
        <v>21</v>
      </c>
      <c r="J1751">
        <v>0</v>
      </c>
      <c r="K1751" t="str">
        <f t="shared" si="54"/>
        <v>Young</v>
      </c>
      <c r="L1751" t="str">
        <f t="shared" si="55"/>
        <v>Normal</v>
      </c>
    </row>
    <row r="1752" spans="1:12" x14ac:dyDescent="0.2">
      <c r="A1752">
        <v>1751</v>
      </c>
      <c r="B1752">
        <v>9</v>
      </c>
      <c r="C1752">
        <v>91</v>
      </c>
      <c r="D1752">
        <v>68</v>
      </c>
      <c r="E1752">
        <v>0</v>
      </c>
      <c r="F1752">
        <v>0</v>
      </c>
      <c r="G1752">
        <v>24.2</v>
      </c>
      <c r="H1752">
        <v>0.2</v>
      </c>
      <c r="I1752">
        <v>58</v>
      </c>
      <c r="J1752">
        <v>0</v>
      </c>
      <c r="K1752" t="str">
        <f t="shared" si="54"/>
        <v>Senior</v>
      </c>
      <c r="L1752" t="str">
        <f t="shared" si="55"/>
        <v>Normal</v>
      </c>
    </row>
    <row r="1753" spans="1:12" x14ac:dyDescent="0.2">
      <c r="A1753">
        <v>1752</v>
      </c>
      <c r="B1753">
        <v>2</v>
      </c>
      <c r="C1753">
        <v>91</v>
      </c>
      <c r="D1753">
        <v>62</v>
      </c>
      <c r="E1753">
        <v>0</v>
      </c>
      <c r="F1753">
        <v>0</v>
      </c>
      <c r="G1753">
        <v>27.3</v>
      </c>
      <c r="H1753">
        <v>0.52500000000000002</v>
      </c>
      <c r="I1753">
        <v>22</v>
      </c>
      <c r="J1753">
        <v>0</v>
      </c>
      <c r="K1753" t="str">
        <f t="shared" si="54"/>
        <v>Young</v>
      </c>
      <c r="L1753" t="str">
        <f t="shared" si="55"/>
        <v>Overweight</v>
      </c>
    </row>
    <row r="1754" spans="1:12" x14ac:dyDescent="0.2">
      <c r="A1754">
        <v>1753</v>
      </c>
      <c r="B1754">
        <v>3</v>
      </c>
      <c r="C1754">
        <v>99</v>
      </c>
      <c r="D1754">
        <v>54</v>
      </c>
      <c r="E1754">
        <v>19</v>
      </c>
      <c r="F1754">
        <v>86</v>
      </c>
      <c r="G1754">
        <v>25.6</v>
      </c>
      <c r="H1754">
        <v>0.154</v>
      </c>
      <c r="I1754">
        <v>24</v>
      </c>
      <c r="J1754">
        <v>0</v>
      </c>
      <c r="K1754" t="str">
        <f t="shared" si="54"/>
        <v>Young</v>
      </c>
      <c r="L1754" t="str">
        <f t="shared" si="55"/>
        <v>Overweight</v>
      </c>
    </row>
    <row r="1755" spans="1:12" x14ac:dyDescent="0.2">
      <c r="A1755">
        <v>1754</v>
      </c>
      <c r="B1755">
        <v>3</v>
      </c>
      <c r="C1755">
        <v>163</v>
      </c>
      <c r="D1755">
        <v>70</v>
      </c>
      <c r="E1755">
        <v>18</v>
      </c>
      <c r="F1755">
        <v>105</v>
      </c>
      <c r="G1755">
        <v>31.6</v>
      </c>
      <c r="H1755">
        <v>0.26800000000000002</v>
      </c>
      <c r="I1755">
        <v>28</v>
      </c>
      <c r="J1755">
        <v>1</v>
      </c>
      <c r="K1755" t="str">
        <f t="shared" si="54"/>
        <v>Young</v>
      </c>
      <c r="L1755" t="str">
        <f t="shared" si="55"/>
        <v>Obese</v>
      </c>
    </row>
    <row r="1756" spans="1:12" x14ac:dyDescent="0.2">
      <c r="A1756">
        <v>1755</v>
      </c>
      <c r="B1756">
        <v>9</v>
      </c>
      <c r="C1756">
        <v>145</v>
      </c>
      <c r="D1756">
        <v>88</v>
      </c>
      <c r="E1756">
        <v>34</v>
      </c>
      <c r="F1756">
        <v>165</v>
      </c>
      <c r="G1756">
        <v>30.3</v>
      </c>
      <c r="H1756">
        <v>0.77100000000000002</v>
      </c>
      <c r="I1756">
        <v>53</v>
      </c>
      <c r="J1756">
        <v>1</v>
      </c>
      <c r="K1756" t="str">
        <f t="shared" si="54"/>
        <v>Senior</v>
      </c>
      <c r="L1756" t="str">
        <f t="shared" si="55"/>
        <v>Obese</v>
      </c>
    </row>
    <row r="1757" spans="1:12" x14ac:dyDescent="0.2">
      <c r="A1757">
        <v>1756</v>
      </c>
      <c r="B1757">
        <v>2</v>
      </c>
      <c r="C1757">
        <v>122</v>
      </c>
      <c r="D1757">
        <v>60</v>
      </c>
      <c r="E1757">
        <v>18</v>
      </c>
      <c r="F1757">
        <v>106</v>
      </c>
      <c r="G1757">
        <v>29.8</v>
      </c>
      <c r="H1757">
        <v>0.71699999999999997</v>
      </c>
      <c r="I1757">
        <v>22</v>
      </c>
      <c r="J1757">
        <v>0</v>
      </c>
      <c r="K1757" t="str">
        <f t="shared" si="54"/>
        <v>Young</v>
      </c>
      <c r="L1757" t="str">
        <f t="shared" si="55"/>
        <v>Overweight</v>
      </c>
    </row>
    <row r="1758" spans="1:12" x14ac:dyDescent="0.2">
      <c r="A1758">
        <v>1757</v>
      </c>
      <c r="B1758">
        <v>0</v>
      </c>
      <c r="C1758">
        <v>107</v>
      </c>
      <c r="D1758">
        <v>76</v>
      </c>
      <c r="E1758">
        <v>0</v>
      </c>
      <c r="F1758">
        <v>0</v>
      </c>
      <c r="G1758">
        <v>45.3</v>
      </c>
      <c r="H1758">
        <v>0.68600000000000005</v>
      </c>
      <c r="I1758">
        <v>24</v>
      </c>
      <c r="J1758">
        <v>0</v>
      </c>
      <c r="K1758" t="str">
        <f t="shared" si="54"/>
        <v>Young</v>
      </c>
      <c r="L1758" t="str">
        <f t="shared" si="55"/>
        <v>Obese</v>
      </c>
    </row>
    <row r="1759" spans="1:12" x14ac:dyDescent="0.2">
      <c r="A1759">
        <v>1758</v>
      </c>
      <c r="B1759">
        <v>1</v>
      </c>
      <c r="C1759">
        <v>86</v>
      </c>
      <c r="D1759">
        <v>66</v>
      </c>
      <c r="E1759">
        <v>52</v>
      </c>
      <c r="F1759">
        <v>65</v>
      </c>
      <c r="G1759">
        <v>41.3</v>
      </c>
      <c r="H1759">
        <v>0.91700000000000004</v>
      </c>
      <c r="I1759">
        <v>29</v>
      </c>
      <c r="J1759">
        <v>0</v>
      </c>
      <c r="K1759" t="str">
        <f t="shared" si="54"/>
        <v>Young</v>
      </c>
      <c r="L1759" t="str">
        <f t="shared" si="55"/>
        <v>Obese</v>
      </c>
    </row>
    <row r="1760" spans="1:12" x14ac:dyDescent="0.2">
      <c r="A1760">
        <v>1759</v>
      </c>
      <c r="B1760">
        <v>6</v>
      </c>
      <c r="C1760">
        <v>91</v>
      </c>
      <c r="D1760">
        <v>121</v>
      </c>
      <c r="E1760">
        <v>0</v>
      </c>
      <c r="F1760">
        <v>0</v>
      </c>
      <c r="G1760">
        <v>29.8</v>
      </c>
      <c r="H1760">
        <v>0.501</v>
      </c>
      <c r="I1760">
        <v>31</v>
      </c>
      <c r="J1760">
        <v>0</v>
      </c>
      <c r="K1760" t="str">
        <f t="shared" si="54"/>
        <v>Middle-Aged</v>
      </c>
      <c r="L1760" t="str">
        <f t="shared" si="55"/>
        <v>Overweight</v>
      </c>
    </row>
    <row r="1761" spans="1:12" x14ac:dyDescent="0.2">
      <c r="A1761">
        <v>1760</v>
      </c>
      <c r="B1761">
        <v>1</v>
      </c>
      <c r="C1761">
        <v>77</v>
      </c>
      <c r="D1761">
        <v>56</v>
      </c>
      <c r="E1761">
        <v>30</v>
      </c>
      <c r="F1761">
        <v>56</v>
      </c>
      <c r="G1761">
        <v>33.299999999999997</v>
      </c>
      <c r="H1761">
        <v>1.2509999999999999</v>
      </c>
      <c r="I1761">
        <v>24</v>
      </c>
      <c r="J1761">
        <v>0</v>
      </c>
      <c r="K1761" t="str">
        <f t="shared" si="54"/>
        <v>Young</v>
      </c>
      <c r="L1761" t="str">
        <f t="shared" si="55"/>
        <v>Obese</v>
      </c>
    </row>
    <row r="1762" spans="1:12" x14ac:dyDescent="0.2">
      <c r="A1762">
        <v>1761</v>
      </c>
      <c r="B1762">
        <v>4</v>
      </c>
      <c r="C1762">
        <v>132</v>
      </c>
      <c r="D1762">
        <v>121</v>
      </c>
      <c r="E1762">
        <v>0</v>
      </c>
      <c r="F1762">
        <v>0</v>
      </c>
      <c r="G1762">
        <v>32.9</v>
      </c>
      <c r="H1762">
        <v>0.30199999999999999</v>
      </c>
      <c r="I1762">
        <v>23</v>
      </c>
      <c r="J1762">
        <v>1</v>
      </c>
      <c r="K1762" t="str">
        <f t="shared" si="54"/>
        <v>Young</v>
      </c>
      <c r="L1762" t="str">
        <f t="shared" si="55"/>
        <v>Obese</v>
      </c>
    </row>
    <row r="1763" spans="1:12" x14ac:dyDescent="0.2">
      <c r="A1763">
        <v>1762</v>
      </c>
      <c r="B1763">
        <v>0</v>
      </c>
      <c r="C1763">
        <v>105</v>
      </c>
      <c r="D1763">
        <v>90</v>
      </c>
      <c r="E1763">
        <v>0</v>
      </c>
      <c r="F1763">
        <v>0</v>
      </c>
      <c r="G1763">
        <v>29.6</v>
      </c>
      <c r="H1763">
        <v>0.19700000000000001</v>
      </c>
      <c r="I1763">
        <v>46</v>
      </c>
      <c r="J1763">
        <v>0</v>
      </c>
      <c r="K1763" t="str">
        <f t="shared" si="54"/>
        <v>Senior</v>
      </c>
      <c r="L1763" t="str">
        <f t="shared" si="55"/>
        <v>Overweight</v>
      </c>
    </row>
    <row r="1764" spans="1:12" x14ac:dyDescent="0.2">
      <c r="A1764">
        <v>1763</v>
      </c>
      <c r="B1764">
        <v>0</v>
      </c>
      <c r="C1764">
        <v>57</v>
      </c>
      <c r="D1764">
        <v>60</v>
      </c>
      <c r="E1764">
        <v>0</v>
      </c>
      <c r="F1764">
        <v>0</v>
      </c>
      <c r="G1764">
        <v>21.7</v>
      </c>
      <c r="H1764">
        <v>0.73499999999999999</v>
      </c>
      <c r="I1764">
        <v>67</v>
      </c>
      <c r="J1764">
        <v>0</v>
      </c>
      <c r="K1764" t="str">
        <f t="shared" si="54"/>
        <v>Senior</v>
      </c>
      <c r="L1764" t="str">
        <f t="shared" si="55"/>
        <v>Normal</v>
      </c>
    </row>
    <row r="1765" spans="1:12" x14ac:dyDescent="0.2">
      <c r="A1765">
        <v>1764</v>
      </c>
      <c r="B1765">
        <v>0</v>
      </c>
      <c r="C1765">
        <v>127</v>
      </c>
      <c r="D1765">
        <v>80</v>
      </c>
      <c r="E1765">
        <v>37</v>
      </c>
      <c r="F1765">
        <v>210</v>
      </c>
      <c r="G1765">
        <v>36.299999999999997</v>
      </c>
      <c r="H1765">
        <v>0.80400000000000005</v>
      </c>
      <c r="I1765">
        <v>23</v>
      </c>
      <c r="J1765">
        <v>0</v>
      </c>
      <c r="K1765" t="str">
        <f t="shared" si="54"/>
        <v>Young</v>
      </c>
      <c r="L1765" t="str">
        <f t="shared" si="55"/>
        <v>Obese</v>
      </c>
    </row>
    <row r="1766" spans="1:12" x14ac:dyDescent="0.2">
      <c r="A1766">
        <v>1765</v>
      </c>
      <c r="B1766">
        <v>3</v>
      </c>
      <c r="C1766">
        <v>129</v>
      </c>
      <c r="D1766">
        <v>92</v>
      </c>
      <c r="E1766">
        <v>49</v>
      </c>
      <c r="F1766">
        <v>155</v>
      </c>
      <c r="G1766">
        <v>36.4</v>
      </c>
      <c r="H1766">
        <v>0.96799999999999997</v>
      </c>
      <c r="I1766">
        <v>32</v>
      </c>
      <c r="J1766">
        <v>1</v>
      </c>
      <c r="K1766" t="str">
        <f t="shared" si="54"/>
        <v>Middle-Aged</v>
      </c>
      <c r="L1766" t="str">
        <f t="shared" si="55"/>
        <v>Obese</v>
      </c>
    </row>
    <row r="1767" spans="1:12" x14ac:dyDescent="0.2">
      <c r="A1767">
        <v>1766</v>
      </c>
      <c r="B1767">
        <v>8</v>
      </c>
      <c r="C1767">
        <v>100</v>
      </c>
      <c r="D1767">
        <v>74</v>
      </c>
      <c r="E1767">
        <v>40</v>
      </c>
      <c r="F1767">
        <v>215</v>
      </c>
      <c r="G1767">
        <v>39.4</v>
      </c>
      <c r="H1767">
        <v>0.66100000000000003</v>
      </c>
      <c r="I1767">
        <v>43</v>
      </c>
      <c r="J1767">
        <v>1</v>
      </c>
      <c r="K1767" t="str">
        <f t="shared" si="54"/>
        <v>Middle-Aged</v>
      </c>
      <c r="L1767" t="str">
        <f t="shared" si="55"/>
        <v>Obese</v>
      </c>
    </row>
    <row r="1768" spans="1:12" x14ac:dyDescent="0.2">
      <c r="A1768">
        <v>1767</v>
      </c>
      <c r="B1768">
        <v>3</v>
      </c>
      <c r="C1768">
        <v>128</v>
      </c>
      <c r="D1768">
        <v>72</v>
      </c>
      <c r="E1768">
        <v>25</v>
      </c>
      <c r="F1768">
        <v>190</v>
      </c>
      <c r="G1768">
        <v>32.4</v>
      </c>
      <c r="H1768">
        <v>0.54900000000000004</v>
      </c>
      <c r="I1768">
        <v>27</v>
      </c>
      <c r="J1768">
        <v>1</v>
      </c>
      <c r="K1768" t="str">
        <f t="shared" si="54"/>
        <v>Young</v>
      </c>
      <c r="L1768" t="str">
        <f t="shared" si="55"/>
        <v>Obese</v>
      </c>
    </row>
    <row r="1769" spans="1:12" x14ac:dyDescent="0.2">
      <c r="A1769">
        <v>1768</v>
      </c>
      <c r="B1769">
        <v>10</v>
      </c>
      <c r="C1769">
        <v>90</v>
      </c>
      <c r="D1769">
        <v>85</v>
      </c>
      <c r="E1769">
        <v>32</v>
      </c>
      <c r="F1769">
        <v>0</v>
      </c>
      <c r="G1769">
        <v>34.9</v>
      </c>
      <c r="H1769">
        <v>0.82499999999999996</v>
      </c>
      <c r="I1769">
        <v>56</v>
      </c>
      <c r="J1769">
        <v>1</v>
      </c>
      <c r="K1769" t="str">
        <f t="shared" si="54"/>
        <v>Senior</v>
      </c>
      <c r="L1769" t="str">
        <f t="shared" si="55"/>
        <v>Obese</v>
      </c>
    </row>
    <row r="1770" spans="1:12" x14ac:dyDescent="0.2">
      <c r="A1770">
        <v>1769</v>
      </c>
      <c r="B1770">
        <v>4</v>
      </c>
      <c r="C1770">
        <v>84</v>
      </c>
      <c r="D1770">
        <v>90</v>
      </c>
      <c r="E1770">
        <v>23</v>
      </c>
      <c r="F1770">
        <v>56</v>
      </c>
      <c r="G1770">
        <v>39.5</v>
      </c>
      <c r="H1770">
        <v>0.159</v>
      </c>
      <c r="I1770">
        <v>25</v>
      </c>
      <c r="J1770">
        <v>0</v>
      </c>
      <c r="K1770" t="str">
        <f t="shared" si="54"/>
        <v>Young</v>
      </c>
      <c r="L1770" t="str">
        <f t="shared" si="55"/>
        <v>Obese</v>
      </c>
    </row>
    <row r="1771" spans="1:12" x14ac:dyDescent="0.2">
      <c r="A1771">
        <v>1770</v>
      </c>
      <c r="B1771">
        <v>1</v>
      </c>
      <c r="C1771">
        <v>88</v>
      </c>
      <c r="D1771">
        <v>78</v>
      </c>
      <c r="E1771">
        <v>29</v>
      </c>
      <c r="F1771">
        <v>76</v>
      </c>
      <c r="G1771">
        <v>32</v>
      </c>
      <c r="H1771">
        <v>0.36499999999999999</v>
      </c>
      <c r="I1771">
        <v>29</v>
      </c>
      <c r="J1771">
        <v>0</v>
      </c>
      <c r="K1771" t="str">
        <f t="shared" si="54"/>
        <v>Young</v>
      </c>
      <c r="L1771" t="str">
        <f t="shared" si="55"/>
        <v>Obese</v>
      </c>
    </row>
    <row r="1772" spans="1:12" x14ac:dyDescent="0.2">
      <c r="A1772">
        <v>1771</v>
      </c>
      <c r="B1772">
        <v>8</v>
      </c>
      <c r="C1772">
        <v>186</v>
      </c>
      <c r="D1772">
        <v>90</v>
      </c>
      <c r="E1772">
        <v>35</v>
      </c>
      <c r="F1772">
        <v>225</v>
      </c>
      <c r="G1772">
        <v>34.5</v>
      </c>
      <c r="H1772">
        <v>0.42299999999999999</v>
      </c>
      <c r="I1772">
        <v>37</v>
      </c>
      <c r="J1772">
        <v>1</v>
      </c>
      <c r="K1772" t="str">
        <f t="shared" si="54"/>
        <v>Middle-Aged</v>
      </c>
      <c r="L1772" t="str">
        <f t="shared" si="55"/>
        <v>Obese</v>
      </c>
    </row>
    <row r="1773" spans="1:12" x14ac:dyDescent="0.2">
      <c r="A1773">
        <v>1772</v>
      </c>
      <c r="B1773">
        <v>5</v>
      </c>
      <c r="C1773">
        <v>187</v>
      </c>
      <c r="D1773">
        <v>76</v>
      </c>
      <c r="E1773">
        <v>27</v>
      </c>
      <c r="F1773">
        <v>207</v>
      </c>
      <c r="G1773">
        <v>43.6</v>
      </c>
      <c r="H1773">
        <v>1.034</v>
      </c>
      <c r="I1773">
        <v>53</v>
      </c>
      <c r="J1773">
        <v>1</v>
      </c>
      <c r="K1773" t="str">
        <f t="shared" si="54"/>
        <v>Senior</v>
      </c>
      <c r="L1773" t="str">
        <f t="shared" si="55"/>
        <v>Obese</v>
      </c>
    </row>
    <row r="1774" spans="1:12" x14ac:dyDescent="0.2">
      <c r="A1774">
        <v>1773</v>
      </c>
      <c r="B1774">
        <v>4</v>
      </c>
      <c r="C1774">
        <v>131</v>
      </c>
      <c r="D1774">
        <v>68</v>
      </c>
      <c r="E1774">
        <v>21</v>
      </c>
      <c r="F1774">
        <v>166</v>
      </c>
      <c r="G1774">
        <v>33.1</v>
      </c>
      <c r="H1774">
        <v>0.16</v>
      </c>
      <c r="I1774">
        <v>28</v>
      </c>
      <c r="J1774">
        <v>0</v>
      </c>
      <c r="K1774" t="str">
        <f t="shared" si="54"/>
        <v>Young</v>
      </c>
      <c r="L1774" t="str">
        <f t="shared" si="55"/>
        <v>Obese</v>
      </c>
    </row>
    <row r="1775" spans="1:12" x14ac:dyDescent="0.2">
      <c r="A1775">
        <v>1774</v>
      </c>
      <c r="B1775">
        <v>1</v>
      </c>
      <c r="C1775">
        <v>164</v>
      </c>
      <c r="D1775">
        <v>82</v>
      </c>
      <c r="E1775">
        <v>43</v>
      </c>
      <c r="F1775">
        <v>67</v>
      </c>
      <c r="G1775">
        <v>32.799999999999997</v>
      </c>
      <c r="H1775">
        <v>0.34100000000000003</v>
      </c>
      <c r="I1775">
        <v>50</v>
      </c>
      <c r="J1775">
        <v>0</v>
      </c>
      <c r="K1775" t="str">
        <f t="shared" si="54"/>
        <v>Senior</v>
      </c>
      <c r="L1775" t="str">
        <f t="shared" si="55"/>
        <v>Obese</v>
      </c>
    </row>
    <row r="1776" spans="1:12" x14ac:dyDescent="0.2">
      <c r="A1776">
        <v>1775</v>
      </c>
      <c r="B1776">
        <v>4</v>
      </c>
      <c r="C1776">
        <v>189</v>
      </c>
      <c r="D1776">
        <v>110</v>
      </c>
      <c r="E1776">
        <v>31</v>
      </c>
      <c r="F1776">
        <v>0</v>
      </c>
      <c r="G1776">
        <v>28.5</v>
      </c>
      <c r="H1776">
        <v>0.68</v>
      </c>
      <c r="I1776">
        <v>37</v>
      </c>
      <c r="J1776">
        <v>0</v>
      </c>
      <c r="K1776" t="str">
        <f t="shared" si="54"/>
        <v>Middle-Aged</v>
      </c>
      <c r="L1776" t="str">
        <f t="shared" si="55"/>
        <v>Overweight</v>
      </c>
    </row>
    <row r="1777" spans="1:12" x14ac:dyDescent="0.2">
      <c r="A1777">
        <v>1776</v>
      </c>
      <c r="B1777">
        <v>1</v>
      </c>
      <c r="C1777">
        <v>116</v>
      </c>
      <c r="D1777">
        <v>70</v>
      </c>
      <c r="E1777">
        <v>28</v>
      </c>
      <c r="F1777">
        <v>0</v>
      </c>
      <c r="G1777">
        <v>27.4</v>
      </c>
      <c r="H1777">
        <v>0.20399999999999999</v>
      </c>
      <c r="I1777">
        <v>21</v>
      </c>
      <c r="J1777">
        <v>0</v>
      </c>
      <c r="K1777" t="str">
        <f t="shared" si="54"/>
        <v>Young</v>
      </c>
      <c r="L1777" t="str">
        <f t="shared" si="55"/>
        <v>Overweight</v>
      </c>
    </row>
    <row r="1778" spans="1:12" x14ac:dyDescent="0.2">
      <c r="A1778">
        <v>1777</v>
      </c>
      <c r="B1778">
        <v>3</v>
      </c>
      <c r="C1778">
        <v>84</v>
      </c>
      <c r="D1778">
        <v>68</v>
      </c>
      <c r="E1778">
        <v>30</v>
      </c>
      <c r="F1778">
        <v>106</v>
      </c>
      <c r="G1778">
        <v>31.9</v>
      </c>
      <c r="H1778">
        <v>0.59099999999999997</v>
      </c>
      <c r="I1778">
        <v>25</v>
      </c>
      <c r="J1778">
        <v>0</v>
      </c>
      <c r="K1778" t="str">
        <f t="shared" si="54"/>
        <v>Young</v>
      </c>
      <c r="L1778" t="str">
        <f t="shared" si="55"/>
        <v>Obese</v>
      </c>
    </row>
    <row r="1779" spans="1:12" x14ac:dyDescent="0.2">
      <c r="A1779">
        <v>1778</v>
      </c>
      <c r="B1779">
        <v>6</v>
      </c>
      <c r="C1779">
        <v>114</v>
      </c>
      <c r="D1779">
        <v>88</v>
      </c>
      <c r="E1779">
        <v>0</v>
      </c>
      <c r="F1779">
        <v>0</v>
      </c>
      <c r="G1779">
        <v>27.8</v>
      </c>
      <c r="H1779">
        <v>0.247</v>
      </c>
      <c r="I1779">
        <v>66</v>
      </c>
      <c r="J1779">
        <v>0</v>
      </c>
      <c r="K1779" t="str">
        <f t="shared" si="54"/>
        <v>Senior</v>
      </c>
      <c r="L1779" t="str">
        <f t="shared" si="55"/>
        <v>Overweight</v>
      </c>
    </row>
    <row r="1780" spans="1:12" x14ac:dyDescent="0.2">
      <c r="A1780">
        <v>1779</v>
      </c>
      <c r="B1780">
        <v>1</v>
      </c>
      <c r="C1780">
        <v>88</v>
      </c>
      <c r="D1780">
        <v>62</v>
      </c>
      <c r="E1780">
        <v>24</v>
      </c>
      <c r="F1780">
        <v>44</v>
      </c>
      <c r="G1780">
        <v>29.9</v>
      </c>
      <c r="H1780">
        <v>0.42199999999999999</v>
      </c>
      <c r="I1780">
        <v>23</v>
      </c>
      <c r="J1780">
        <v>0</v>
      </c>
      <c r="K1780" t="str">
        <f t="shared" si="54"/>
        <v>Young</v>
      </c>
      <c r="L1780" t="str">
        <f t="shared" si="55"/>
        <v>Overweight</v>
      </c>
    </row>
    <row r="1781" spans="1:12" x14ac:dyDescent="0.2">
      <c r="A1781">
        <v>1780</v>
      </c>
      <c r="B1781">
        <v>1</v>
      </c>
      <c r="C1781">
        <v>84</v>
      </c>
      <c r="D1781">
        <v>64</v>
      </c>
      <c r="E1781">
        <v>23</v>
      </c>
      <c r="F1781">
        <v>115</v>
      </c>
      <c r="G1781">
        <v>36.9</v>
      </c>
      <c r="H1781">
        <v>0.47099999999999997</v>
      </c>
      <c r="I1781">
        <v>28</v>
      </c>
      <c r="J1781">
        <v>0</v>
      </c>
      <c r="K1781" t="str">
        <f t="shared" si="54"/>
        <v>Young</v>
      </c>
      <c r="L1781" t="str">
        <f t="shared" si="55"/>
        <v>Obese</v>
      </c>
    </row>
    <row r="1782" spans="1:12" x14ac:dyDescent="0.2">
      <c r="A1782">
        <v>1781</v>
      </c>
      <c r="B1782">
        <v>7</v>
      </c>
      <c r="C1782">
        <v>124</v>
      </c>
      <c r="D1782">
        <v>70</v>
      </c>
      <c r="E1782">
        <v>33</v>
      </c>
      <c r="F1782">
        <v>215</v>
      </c>
      <c r="G1782">
        <v>25.5</v>
      </c>
      <c r="H1782">
        <v>0.161</v>
      </c>
      <c r="I1782">
        <v>37</v>
      </c>
      <c r="J1782">
        <v>0</v>
      </c>
      <c r="K1782" t="str">
        <f t="shared" si="54"/>
        <v>Middle-Aged</v>
      </c>
      <c r="L1782" t="str">
        <f t="shared" si="55"/>
        <v>Overweight</v>
      </c>
    </row>
    <row r="1783" spans="1:12" x14ac:dyDescent="0.2">
      <c r="A1783">
        <v>1782</v>
      </c>
      <c r="B1783">
        <v>1</v>
      </c>
      <c r="C1783">
        <v>97</v>
      </c>
      <c r="D1783">
        <v>70</v>
      </c>
      <c r="E1783">
        <v>40</v>
      </c>
      <c r="F1783">
        <v>0</v>
      </c>
      <c r="G1783">
        <v>38.1</v>
      </c>
      <c r="H1783">
        <v>0.218</v>
      </c>
      <c r="I1783">
        <v>30</v>
      </c>
      <c r="J1783">
        <v>0</v>
      </c>
      <c r="K1783" t="str">
        <f t="shared" si="54"/>
        <v>Middle-Aged</v>
      </c>
      <c r="L1783" t="str">
        <f t="shared" si="55"/>
        <v>Obese</v>
      </c>
    </row>
    <row r="1784" spans="1:12" x14ac:dyDescent="0.2">
      <c r="A1784">
        <v>1783</v>
      </c>
      <c r="B1784">
        <v>8</v>
      </c>
      <c r="C1784">
        <v>110</v>
      </c>
      <c r="D1784">
        <v>76</v>
      </c>
      <c r="E1784">
        <v>0</v>
      </c>
      <c r="F1784">
        <v>0</v>
      </c>
      <c r="G1784">
        <v>27.8</v>
      </c>
      <c r="H1784">
        <v>0.23699999999999999</v>
      </c>
      <c r="I1784">
        <v>58</v>
      </c>
      <c r="J1784">
        <v>0</v>
      </c>
      <c r="K1784" t="str">
        <f t="shared" si="54"/>
        <v>Senior</v>
      </c>
      <c r="L1784" t="str">
        <f t="shared" si="55"/>
        <v>Overweight</v>
      </c>
    </row>
    <row r="1785" spans="1:12" x14ac:dyDescent="0.2">
      <c r="A1785">
        <v>1784</v>
      </c>
      <c r="B1785">
        <v>11</v>
      </c>
      <c r="C1785">
        <v>103</v>
      </c>
      <c r="D1785">
        <v>68</v>
      </c>
      <c r="E1785">
        <v>40</v>
      </c>
      <c r="F1785">
        <v>0</v>
      </c>
      <c r="G1785">
        <v>46.2</v>
      </c>
      <c r="H1785">
        <v>0.126</v>
      </c>
      <c r="I1785">
        <v>42</v>
      </c>
      <c r="J1785">
        <v>0</v>
      </c>
      <c r="K1785" t="str">
        <f t="shared" si="54"/>
        <v>Middle-Aged</v>
      </c>
      <c r="L1785" t="str">
        <f t="shared" si="55"/>
        <v>Obese</v>
      </c>
    </row>
    <row r="1786" spans="1:12" x14ac:dyDescent="0.2">
      <c r="A1786">
        <v>1785</v>
      </c>
      <c r="B1786">
        <v>11</v>
      </c>
      <c r="C1786">
        <v>85</v>
      </c>
      <c r="D1786">
        <v>74</v>
      </c>
      <c r="E1786">
        <v>0</v>
      </c>
      <c r="F1786">
        <v>0</v>
      </c>
      <c r="G1786">
        <v>30.1</v>
      </c>
      <c r="H1786">
        <v>0.3</v>
      </c>
      <c r="I1786">
        <v>35</v>
      </c>
      <c r="J1786">
        <v>0</v>
      </c>
      <c r="K1786" t="str">
        <f t="shared" si="54"/>
        <v>Middle-Aged</v>
      </c>
      <c r="L1786" t="str">
        <f t="shared" si="55"/>
        <v>Obese</v>
      </c>
    </row>
    <row r="1787" spans="1:12" x14ac:dyDescent="0.2">
      <c r="A1787">
        <v>1786</v>
      </c>
      <c r="B1787">
        <v>6</v>
      </c>
      <c r="C1787">
        <v>125</v>
      </c>
      <c r="D1787">
        <v>76</v>
      </c>
      <c r="E1787">
        <v>0</v>
      </c>
      <c r="F1787">
        <v>0</v>
      </c>
      <c r="G1787">
        <v>33.799999999999997</v>
      </c>
      <c r="H1787">
        <v>0.121</v>
      </c>
      <c r="I1787">
        <v>54</v>
      </c>
      <c r="J1787">
        <v>1</v>
      </c>
      <c r="K1787" t="str">
        <f t="shared" si="54"/>
        <v>Senior</v>
      </c>
      <c r="L1787" t="str">
        <f t="shared" si="55"/>
        <v>Obese</v>
      </c>
    </row>
    <row r="1788" spans="1:12" x14ac:dyDescent="0.2">
      <c r="A1788">
        <v>1787</v>
      </c>
      <c r="B1788">
        <v>0</v>
      </c>
      <c r="C1788">
        <v>198</v>
      </c>
      <c r="D1788">
        <v>66</v>
      </c>
      <c r="E1788">
        <v>32</v>
      </c>
      <c r="F1788">
        <v>274</v>
      </c>
      <c r="G1788">
        <v>41.3</v>
      </c>
      <c r="H1788">
        <v>0.502</v>
      </c>
      <c r="I1788">
        <v>28</v>
      </c>
      <c r="J1788">
        <v>1</v>
      </c>
      <c r="K1788" t="str">
        <f t="shared" si="54"/>
        <v>Young</v>
      </c>
      <c r="L1788" t="str">
        <f t="shared" si="55"/>
        <v>Obese</v>
      </c>
    </row>
    <row r="1789" spans="1:12" x14ac:dyDescent="0.2">
      <c r="A1789">
        <v>1788</v>
      </c>
      <c r="B1789">
        <v>1</v>
      </c>
      <c r="C1789">
        <v>87</v>
      </c>
      <c r="D1789">
        <v>68</v>
      </c>
      <c r="E1789">
        <v>34</v>
      </c>
      <c r="F1789">
        <v>77</v>
      </c>
      <c r="G1789">
        <v>37.6</v>
      </c>
      <c r="H1789">
        <v>0.40100000000000002</v>
      </c>
      <c r="I1789">
        <v>24</v>
      </c>
      <c r="J1789">
        <v>0</v>
      </c>
      <c r="K1789" t="str">
        <f t="shared" si="54"/>
        <v>Young</v>
      </c>
      <c r="L1789" t="str">
        <f t="shared" si="55"/>
        <v>Obese</v>
      </c>
    </row>
    <row r="1790" spans="1:12" x14ac:dyDescent="0.2">
      <c r="A1790">
        <v>1789</v>
      </c>
      <c r="B1790">
        <v>6</v>
      </c>
      <c r="C1790">
        <v>99</v>
      </c>
      <c r="D1790">
        <v>60</v>
      </c>
      <c r="E1790">
        <v>19</v>
      </c>
      <c r="F1790">
        <v>54</v>
      </c>
      <c r="G1790">
        <v>26.9</v>
      </c>
      <c r="H1790">
        <v>0.497</v>
      </c>
      <c r="I1790">
        <v>32</v>
      </c>
      <c r="J1790">
        <v>0</v>
      </c>
      <c r="K1790" t="str">
        <f t="shared" si="54"/>
        <v>Middle-Aged</v>
      </c>
      <c r="L1790" t="str">
        <f t="shared" si="55"/>
        <v>Overweight</v>
      </c>
    </row>
    <row r="1791" spans="1:12" x14ac:dyDescent="0.2">
      <c r="A1791">
        <v>1790</v>
      </c>
      <c r="B1791">
        <v>0</v>
      </c>
      <c r="C1791">
        <v>91</v>
      </c>
      <c r="D1791">
        <v>80</v>
      </c>
      <c r="E1791">
        <v>0</v>
      </c>
      <c r="F1791">
        <v>0</v>
      </c>
      <c r="G1791">
        <v>32.4</v>
      </c>
      <c r="H1791">
        <v>0.60099999999999998</v>
      </c>
      <c r="I1791">
        <v>27</v>
      </c>
      <c r="J1791">
        <v>0</v>
      </c>
      <c r="K1791" t="str">
        <f t="shared" si="54"/>
        <v>Young</v>
      </c>
      <c r="L1791" t="str">
        <f t="shared" si="55"/>
        <v>Obese</v>
      </c>
    </row>
    <row r="1792" spans="1:12" x14ac:dyDescent="0.2">
      <c r="A1792">
        <v>1791</v>
      </c>
      <c r="B1792">
        <v>2</v>
      </c>
      <c r="C1792">
        <v>95</v>
      </c>
      <c r="D1792">
        <v>54</v>
      </c>
      <c r="E1792">
        <v>14</v>
      </c>
      <c r="F1792">
        <v>88</v>
      </c>
      <c r="G1792">
        <v>26.1</v>
      </c>
      <c r="H1792">
        <v>0.748</v>
      </c>
      <c r="I1792">
        <v>22</v>
      </c>
      <c r="J1792">
        <v>0</v>
      </c>
      <c r="K1792" t="str">
        <f t="shared" si="54"/>
        <v>Young</v>
      </c>
      <c r="L1792" t="str">
        <f t="shared" si="55"/>
        <v>Overweight</v>
      </c>
    </row>
    <row r="1793" spans="1:12" x14ac:dyDescent="0.2">
      <c r="A1793">
        <v>1792</v>
      </c>
      <c r="B1793">
        <v>1</v>
      </c>
      <c r="C1793">
        <v>99</v>
      </c>
      <c r="D1793">
        <v>72</v>
      </c>
      <c r="E1793">
        <v>30</v>
      </c>
      <c r="F1793">
        <v>18</v>
      </c>
      <c r="G1793">
        <v>38.6</v>
      </c>
      <c r="H1793">
        <v>0.41199999999999998</v>
      </c>
      <c r="I1793">
        <v>21</v>
      </c>
      <c r="J1793">
        <v>0</v>
      </c>
      <c r="K1793" t="str">
        <f t="shared" si="54"/>
        <v>Young</v>
      </c>
      <c r="L1793" t="str">
        <f t="shared" si="55"/>
        <v>Obese</v>
      </c>
    </row>
    <row r="1794" spans="1:12" x14ac:dyDescent="0.2">
      <c r="A1794">
        <v>1793</v>
      </c>
      <c r="B1794">
        <v>6</v>
      </c>
      <c r="C1794">
        <v>92</v>
      </c>
      <c r="D1794">
        <v>62</v>
      </c>
      <c r="E1794">
        <v>32</v>
      </c>
      <c r="F1794">
        <v>126</v>
      </c>
      <c r="G1794">
        <v>32</v>
      </c>
      <c r="H1794">
        <v>8.5000000000000006E-2</v>
      </c>
      <c r="I1794">
        <v>46</v>
      </c>
      <c r="J1794">
        <v>0</v>
      </c>
      <c r="K1794" t="str">
        <f t="shared" si="54"/>
        <v>Senior</v>
      </c>
      <c r="L1794" t="str">
        <f t="shared" si="55"/>
        <v>Obese</v>
      </c>
    </row>
    <row r="1795" spans="1:12" x14ac:dyDescent="0.2">
      <c r="A1795">
        <v>1794</v>
      </c>
      <c r="B1795">
        <v>4</v>
      </c>
      <c r="C1795">
        <v>154</v>
      </c>
      <c r="D1795">
        <v>72</v>
      </c>
      <c r="E1795">
        <v>29</v>
      </c>
      <c r="F1795">
        <v>126</v>
      </c>
      <c r="G1795">
        <v>31.3</v>
      </c>
      <c r="H1795">
        <v>0.33800000000000002</v>
      </c>
      <c r="I1795">
        <v>37</v>
      </c>
      <c r="J1795">
        <v>0</v>
      </c>
      <c r="K1795" t="str">
        <f t="shared" ref="K1795:K1858" si="56">IF(I1795&lt;30, "Young", IF( I1795&lt;45, "Middle-Aged", "Senior"))</f>
        <v>Middle-Aged</v>
      </c>
      <c r="L1795" t="str">
        <f t="shared" ref="L1795:L1858" si="57">IF(G1795&lt;18.5, "Underweight", IF(G1795&lt;25, "Normal", IF(G1795&lt;30, "Overweight", "Obese")))</f>
        <v>Obese</v>
      </c>
    </row>
    <row r="1796" spans="1:12" x14ac:dyDescent="0.2">
      <c r="A1796">
        <v>1795</v>
      </c>
      <c r="B1796">
        <v>0</v>
      </c>
      <c r="C1796">
        <v>121</v>
      </c>
      <c r="D1796">
        <v>66</v>
      </c>
      <c r="E1796">
        <v>30</v>
      </c>
      <c r="F1796">
        <v>165</v>
      </c>
      <c r="G1796">
        <v>34.299999999999997</v>
      </c>
      <c r="H1796">
        <v>0.20300000000000001</v>
      </c>
      <c r="I1796">
        <v>33</v>
      </c>
      <c r="J1796">
        <v>1</v>
      </c>
      <c r="K1796" t="str">
        <f t="shared" si="56"/>
        <v>Middle-Aged</v>
      </c>
      <c r="L1796" t="str">
        <f t="shared" si="57"/>
        <v>Obese</v>
      </c>
    </row>
    <row r="1797" spans="1:12" x14ac:dyDescent="0.2">
      <c r="A1797">
        <v>1796</v>
      </c>
      <c r="B1797">
        <v>3</v>
      </c>
      <c r="C1797">
        <v>78</v>
      </c>
      <c r="D1797">
        <v>70</v>
      </c>
      <c r="E1797">
        <v>0</v>
      </c>
      <c r="F1797">
        <v>0</v>
      </c>
      <c r="G1797">
        <v>32.5</v>
      </c>
      <c r="H1797">
        <v>0.27</v>
      </c>
      <c r="I1797">
        <v>39</v>
      </c>
      <c r="J1797">
        <v>0</v>
      </c>
      <c r="K1797" t="str">
        <f t="shared" si="56"/>
        <v>Middle-Aged</v>
      </c>
      <c r="L1797" t="str">
        <f t="shared" si="57"/>
        <v>Obese</v>
      </c>
    </row>
    <row r="1798" spans="1:12" x14ac:dyDescent="0.2">
      <c r="A1798">
        <v>1797</v>
      </c>
      <c r="B1798">
        <v>2</v>
      </c>
      <c r="C1798">
        <v>130</v>
      </c>
      <c r="D1798">
        <v>96</v>
      </c>
      <c r="E1798">
        <v>0</v>
      </c>
      <c r="F1798">
        <v>0</v>
      </c>
      <c r="G1798">
        <v>22.6</v>
      </c>
      <c r="H1798">
        <v>0.26800000000000002</v>
      </c>
      <c r="I1798">
        <v>21</v>
      </c>
      <c r="J1798">
        <v>0</v>
      </c>
      <c r="K1798" t="str">
        <f t="shared" si="56"/>
        <v>Young</v>
      </c>
      <c r="L1798" t="str">
        <f t="shared" si="57"/>
        <v>Normal</v>
      </c>
    </row>
    <row r="1799" spans="1:12" x14ac:dyDescent="0.2">
      <c r="A1799">
        <v>1798</v>
      </c>
      <c r="B1799">
        <v>3</v>
      </c>
      <c r="C1799">
        <v>111</v>
      </c>
      <c r="D1799">
        <v>58</v>
      </c>
      <c r="E1799">
        <v>31</v>
      </c>
      <c r="F1799">
        <v>44</v>
      </c>
      <c r="G1799">
        <v>29.5</v>
      </c>
      <c r="H1799">
        <v>0.43</v>
      </c>
      <c r="I1799">
        <v>22</v>
      </c>
      <c r="J1799">
        <v>0</v>
      </c>
      <c r="K1799" t="str">
        <f t="shared" si="56"/>
        <v>Young</v>
      </c>
      <c r="L1799" t="str">
        <f t="shared" si="57"/>
        <v>Overweight</v>
      </c>
    </row>
    <row r="1800" spans="1:12" x14ac:dyDescent="0.2">
      <c r="A1800">
        <v>1799</v>
      </c>
      <c r="B1800">
        <v>2</v>
      </c>
      <c r="C1800">
        <v>98</v>
      </c>
      <c r="D1800">
        <v>60</v>
      </c>
      <c r="E1800">
        <v>17</v>
      </c>
      <c r="F1800">
        <v>120</v>
      </c>
      <c r="G1800">
        <v>34.700000000000003</v>
      </c>
      <c r="H1800">
        <v>0.19800000000000001</v>
      </c>
      <c r="I1800">
        <v>22</v>
      </c>
      <c r="J1800">
        <v>0</v>
      </c>
      <c r="K1800" t="str">
        <f t="shared" si="56"/>
        <v>Young</v>
      </c>
      <c r="L1800" t="str">
        <f t="shared" si="57"/>
        <v>Obese</v>
      </c>
    </row>
    <row r="1801" spans="1:12" x14ac:dyDescent="0.2">
      <c r="A1801">
        <v>1800</v>
      </c>
      <c r="B1801">
        <v>1</v>
      </c>
      <c r="C1801">
        <v>143</v>
      </c>
      <c r="D1801">
        <v>86</v>
      </c>
      <c r="E1801">
        <v>30</v>
      </c>
      <c r="F1801">
        <v>330</v>
      </c>
      <c r="G1801">
        <v>30.1</v>
      </c>
      <c r="H1801">
        <v>0.89200000000000002</v>
      </c>
      <c r="I1801">
        <v>23</v>
      </c>
      <c r="J1801">
        <v>0</v>
      </c>
      <c r="K1801" t="str">
        <f t="shared" si="56"/>
        <v>Young</v>
      </c>
      <c r="L1801" t="str">
        <f t="shared" si="57"/>
        <v>Obese</v>
      </c>
    </row>
    <row r="1802" spans="1:12" x14ac:dyDescent="0.2">
      <c r="A1802">
        <v>1801</v>
      </c>
      <c r="B1802">
        <v>1</v>
      </c>
      <c r="C1802">
        <v>119</v>
      </c>
      <c r="D1802">
        <v>44</v>
      </c>
      <c r="E1802">
        <v>47</v>
      </c>
      <c r="F1802">
        <v>63</v>
      </c>
      <c r="G1802">
        <v>35.5</v>
      </c>
      <c r="H1802">
        <v>0.28000000000000003</v>
      </c>
      <c r="I1802">
        <v>25</v>
      </c>
      <c r="J1802">
        <v>0</v>
      </c>
      <c r="K1802" t="str">
        <f t="shared" si="56"/>
        <v>Young</v>
      </c>
      <c r="L1802" t="str">
        <f t="shared" si="57"/>
        <v>Obese</v>
      </c>
    </row>
    <row r="1803" spans="1:12" x14ac:dyDescent="0.2">
      <c r="A1803">
        <v>1802</v>
      </c>
      <c r="B1803">
        <v>6</v>
      </c>
      <c r="C1803">
        <v>108</v>
      </c>
      <c r="D1803">
        <v>44</v>
      </c>
      <c r="E1803">
        <v>20</v>
      </c>
      <c r="F1803">
        <v>130</v>
      </c>
      <c r="G1803">
        <v>24</v>
      </c>
      <c r="H1803">
        <v>0.81299999999999994</v>
      </c>
      <c r="I1803">
        <v>35</v>
      </c>
      <c r="J1803">
        <v>0</v>
      </c>
      <c r="K1803" t="str">
        <f t="shared" si="56"/>
        <v>Middle-Aged</v>
      </c>
      <c r="L1803" t="str">
        <f t="shared" si="57"/>
        <v>Normal</v>
      </c>
    </row>
    <row r="1804" spans="1:12" x14ac:dyDescent="0.2">
      <c r="A1804">
        <v>1803</v>
      </c>
      <c r="B1804">
        <v>2</v>
      </c>
      <c r="C1804">
        <v>118</v>
      </c>
      <c r="D1804">
        <v>80</v>
      </c>
      <c r="E1804">
        <v>0</v>
      </c>
      <c r="F1804">
        <v>0</v>
      </c>
      <c r="G1804">
        <v>42.9</v>
      </c>
      <c r="H1804">
        <v>0.69299999999999995</v>
      </c>
      <c r="I1804">
        <v>21</v>
      </c>
      <c r="J1804">
        <v>1</v>
      </c>
      <c r="K1804" t="str">
        <f t="shared" si="56"/>
        <v>Young</v>
      </c>
      <c r="L1804" t="str">
        <f t="shared" si="57"/>
        <v>Obese</v>
      </c>
    </row>
    <row r="1805" spans="1:12" x14ac:dyDescent="0.2">
      <c r="A1805">
        <v>1804</v>
      </c>
      <c r="B1805">
        <v>10</v>
      </c>
      <c r="C1805">
        <v>133</v>
      </c>
      <c r="D1805">
        <v>68</v>
      </c>
      <c r="E1805">
        <v>0</v>
      </c>
      <c r="F1805">
        <v>0</v>
      </c>
      <c r="G1805">
        <v>27</v>
      </c>
      <c r="H1805">
        <v>0.245</v>
      </c>
      <c r="I1805">
        <v>36</v>
      </c>
      <c r="J1805">
        <v>0</v>
      </c>
      <c r="K1805" t="str">
        <f t="shared" si="56"/>
        <v>Middle-Aged</v>
      </c>
      <c r="L1805" t="str">
        <f t="shared" si="57"/>
        <v>Overweight</v>
      </c>
    </row>
    <row r="1806" spans="1:12" x14ac:dyDescent="0.2">
      <c r="A1806">
        <v>1805</v>
      </c>
      <c r="B1806">
        <v>2</v>
      </c>
      <c r="C1806">
        <v>197</v>
      </c>
      <c r="D1806">
        <v>70</v>
      </c>
      <c r="E1806">
        <v>99</v>
      </c>
      <c r="F1806">
        <v>0</v>
      </c>
      <c r="G1806">
        <v>34.700000000000003</v>
      </c>
      <c r="H1806">
        <v>0.57499999999999996</v>
      </c>
      <c r="I1806">
        <v>62</v>
      </c>
      <c r="J1806">
        <v>1</v>
      </c>
      <c r="K1806" t="str">
        <f t="shared" si="56"/>
        <v>Senior</v>
      </c>
      <c r="L1806" t="str">
        <f t="shared" si="57"/>
        <v>Obese</v>
      </c>
    </row>
    <row r="1807" spans="1:12" x14ac:dyDescent="0.2">
      <c r="A1807">
        <v>1806</v>
      </c>
      <c r="B1807">
        <v>0</v>
      </c>
      <c r="C1807">
        <v>151</v>
      </c>
      <c r="D1807">
        <v>90</v>
      </c>
      <c r="E1807">
        <v>46</v>
      </c>
      <c r="F1807">
        <v>0</v>
      </c>
      <c r="G1807">
        <v>42.1</v>
      </c>
      <c r="H1807">
        <v>0.371</v>
      </c>
      <c r="I1807">
        <v>21</v>
      </c>
      <c r="J1807">
        <v>1</v>
      </c>
      <c r="K1807" t="str">
        <f t="shared" si="56"/>
        <v>Young</v>
      </c>
      <c r="L1807" t="str">
        <f t="shared" si="57"/>
        <v>Obese</v>
      </c>
    </row>
    <row r="1808" spans="1:12" x14ac:dyDescent="0.2">
      <c r="A1808">
        <v>1807</v>
      </c>
      <c r="B1808">
        <v>6</v>
      </c>
      <c r="C1808">
        <v>109</v>
      </c>
      <c r="D1808">
        <v>60</v>
      </c>
      <c r="E1808">
        <v>27</v>
      </c>
      <c r="F1808">
        <v>0</v>
      </c>
      <c r="G1808">
        <v>25</v>
      </c>
      <c r="H1808">
        <v>0.20599999999999999</v>
      </c>
      <c r="I1808">
        <v>27</v>
      </c>
      <c r="J1808">
        <v>0</v>
      </c>
      <c r="K1808" t="str">
        <f t="shared" si="56"/>
        <v>Young</v>
      </c>
      <c r="L1808" t="str">
        <f t="shared" si="57"/>
        <v>Overweight</v>
      </c>
    </row>
    <row r="1809" spans="1:12" x14ac:dyDescent="0.2">
      <c r="A1809">
        <v>1808</v>
      </c>
      <c r="B1809">
        <v>12</v>
      </c>
      <c r="C1809">
        <v>121</v>
      </c>
      <c r="D1809">
        <v>78</v>
      </c>
      <c r="E1809">
        <v>17</v>
      </c>
      <c r="F1809">
        <v>0</v>
      </c>
      <c r="G1809">
        <v>26.5</v>
      </c>
      <c r="H1809">
        <v>0.25900000000000001</v>
      </c>
      <c r="I1809">
        <v>62</v>
      </c>
      <c r="J1809">
        <v>0</v>
      </c>
      <c r="K1809" t="str">
        <f t="shared" si="56"/>
        <v>Senior</v>
      </c>
      <c r="L1809" t="str">
        <f t="shared" si="57"/>
        <v>Overweight</v>
      </c>
    </row>
    <row r="1810" spans="1:12" x14ac:dyDescent="0.2">
      <c r="A1810">
        <v>1809</v>
      </c>
      <c r="B1810">
        <v>8</v>
      </c>
      <c r="C1810">
        <v>100</v>
      </c>
      <c r="D1810">
        <v>76</v>
      </c>
      <c r="E1810">
        <v>0</v>
      </c>
      <c r="F1810">
        <v>0</v>
      </c>
      <c r="G1810">
        <v>38.700000000000003</v>
      </c>
      <c r="H1810">
        <v>0.19</v>
      </c>
      <c r="I1810">
        <v>42</v>
      </c>
      <c r="J1810">
        <v>0</v>
      </c>
      <c r="K1810" t="str">
        <f t="shared" si="56"/>
        <v>Middle-Aged</v>
      </c>
      <c r="L1810" t="str">
        <f t="shared" si="57"/>
        <v>Obese</v>
      </c>
    </row>
    <row r="1811" spans="1:12" x14ac:dyDescent="0.2">
      <c r="A1811">
        <v>1810</v>
      </c>
      <c r="B1811">
        <v>8</v>
      </c>
      <c r="C1811">
        <v>124</v>
      </c>
      <c r="D1811">
        <v>76</v>
      </c>
      <c r="E1811">
        <v>24</v>
      </c>
      <c r="F1811">
        <v>600</v>
      </c>
      <c r="G1811">
        <v>28.7</v>
      </c>
      <c r="H1811">
        <v>0.68700000000000006</v>
      </c>
      <c r="I1811">
        <v>52</v>
      </c>
      <c r="J1811">
        <v>1</v>
      </c>
      <c r="K1811" t="str">
        <f t="shared" si="56"/>
        <v>Senior</v>
      </c>
      <c r="L1811" t="str">
        <f t="shared" si="57"/>
        <v>Overweight</v>
      </c>
    </row>
    <row r="1812" spans="1:12" x14ac:dyDescent="0.2">
      <c r="A1812">
        <v>1811</v>
      </c>
      <c r="B1812">
        <v>1</v>
      </c>
      <c r="C1812">
        <v>93</v>
      </c>
      <c r="D1812">
        <v>56</v>
      </c>
      <c r="E1812">
        <v>11</v>
      </c>
      <c r="F1812">
        <v>0</v>
      </c>
      <c r="G1812">
        <v>22.5</v>
      </c>
      <c r="H1812">
        <v>0.41699999999999998</v>
      </c>
      <c r="I1812">
        <v>22</v>
      </c>
      <c r="J1812">
        <v>0</v>
      </c>
      <c r="K1812" t="str">
        <f t="shared" si="56"/>
        <v>Young</v>
      </c>
      <c r="L1812" t="str">
        <f t="shared" si="57"/>
        <v>Normal</v>
      </c>
    </row>
    <row r="1813" spans="1:12" x14ac:dyDescent="0.2">
      <c r="A1813">
        <v>1812</v>
      </c>
      <c r="B1813">
        <v>8</v>
      </c>
      <c r="C1813">
        <v>143</v>
      </c>
      <c r="D1813">
        <v>66</v>
      </c>
      <c r="E1813">
        <v>0</v>
      </c>
      <c r="F1813">
        <v>0</v>
      </c>
      <c r="G1813">
        <v>34.9</v>
      </c>
      <c r="H1813">
        <v>0.129</v>
      </c>
      <c r="I1813">
        <v>41</v>
      </c>
      <c r="J1813">
        <v>1</v>
      </c>
      <c r="K1813" t="str">
        <f t="shared" si="56"/>
        <v>Middle-Aged</v>
      </c>
      <c r="L1813" t="str">
        <f t="shared" si="57"/>
        <v>Obese</v>
      </c>
    </row>
    <row r="1814" spans="1:12" x14ac:dyDescent="0.2">
      <c r="A1814">
        <v>1813</v>
      </c>
      <c r="B1814">
        <v>6</v>
      </c>
      <c r="C1814">
        <v>103</v>
      </c>
      <c r="D1814">
        <v>66</v>
      </c>
      <c r="E1814">
        <v>0</v>
      </c>
      <c r="F1814">
        <v>0</v>
      </c>
      <c r="G1814">
        <v>24.3</v>
      </c>
      <c r="H1814">
        <v>0.249</v>
      </c>
      <c r="I1814">
        <v>29</v>
      </c>
      <c r="J1814">
        <v>0</v>
      </c>
      <c r="K1814" t="str">
        <f t="shared" si="56"/>
        <v>Young</v>
      </c>
      <c r="L1814" t="str">
        <f t="shared" si="57"/>
        <v>Normal</v>
      </c>
    </row>
    <row r="1815" spans="1:12" x14ac:dyDescent="0.2">
      <c r="A1815">
        <v>1814</v>
      </c>
      <c r="B1815">
        <v>3</v>
      </c>
      <c r="C1815">
        <v>176</v>
      </c>
      <c r="D1815">
        <v>86</v>
      </c>
      <c r="E1815">
        <v>27</v>
      </c>
      <c r="F1815">
        <v>156</v>
      </c>
      <c r="G1815">
        <v>33.299999999999997</v>
      </c>
      <c r="H1815">
        <v>1.1539999999999999</v>
      </c>
      <c r="I1815">
        <v>52</v>
      </c>
      <c r="J1815">
        <v>1</v>
      </c>
      <c r="K1815" t="str">
        <f t="shared" si="56"/>
        <v>Senior</v>
      </c>
      <c r="L1815" t="str">
        <f t="shared" si="57"/>
        <v>Obese</v>
      </c>
    </row>
    <row r="1816" spans="1:12" x14ac:dyDescent="0.2">
      <c r="A1816">
        <v>1815</v>
      </c>
      <c r="B1816">
        <v>0</v>
      </c>
      <c r="C1816">
        <v>73</v>
      </c>
      <c r="D1816">
        <v>121</v>
      </c>
      <c r="E1816">
        <v>0</v>
      </c>
      <c r="F1816">
        <v>0</v>
      </c>
      <c r="G1816">
        <v>21.1</v>
      </c>
      <c r="H1816">
        <v>0.34200000000000003</v>
      </c>
      <c r="I1816">
        <v>25</v>
      </c>
      <c r="J1816">
        <v>0</v>
      </c>
      <c r="K1816" t="str">
        <f t="shared" si="56"/>
        <v>Young</v>
      </c>
      <c r="L1816" t="str">
        <f t="shared" si="57"/>
        <v>Normal</v>
      </c>
    </row>
    <row r="1817" spans="1:12" x14ac:dyDescent="0.2">
      <c r="A1817">
        <v>1816</v>
      </c>
      <c r="B1817">
        <v>11</v>
      </c>
      <c r="C1817">
        <v>111</v>
      </c>
      <c r="D1817">
        <v>84</v>
      </c>
      <c r="E1817">
        <v>40</v>
      </c>
      <c r="F1817">
        <v>0</v>
      </c>
      <c r="G1817">
        <v>46.8</v>
      </c>
      <c r="H1817">
        <v>0.92500000000000004</v>
      </c>
      <c r="I1817">
        <v>45</v>
      </c>
      <c r="J1817">
        <v>1</v>
      </c>
      <c r="K1817" t="str">
        <f t="shared" si="56"/>
        <v>Senior</v>
      </c>
      <c r="L1817" t="str">
        <f t="shared" si="57"/>
        <v>Obese</v>
      </c>
    </row>
    <row r="1818" spans="1:12" x14ac:dyDescent="0.2">
      <c r="A1818">
        <v>1817</v>
      </c>
      <c r="B1818">
        <v>2</v>
      </c>
      <c r="C1818">
        <v>112</v>
      </c>
      <c r="D1818">
        <v>78</v>
      </c>
      <c r="E1818">
        <v>50</v>
      </c>
      <c r="F1818">
        <v>140</v>
      </c>
      <c r="G1818">
        <v>39.4</v>
      </c>
      <c r="H1818">
        <v>0.17499999999999999</v>
      </c>
      <c r="I1818">
        <v>24</v>
      </c>
      <c r="J1818">
        <v>0</v>
      </c>
      <c r="K1818" t="str">
        <f t="shared" si="56"/>
        <v>Young</v>
      </c>
      <c r="L1818" t="str">
        <f t="shared" si="57"/>
        <v>Obese</v>
      </c>
    </row>
    <row r="1819" spans="1:12" x14ac:dyDescent="0.2">
      <c r="A1819">
        <v>1818</v>
      </c>
      <c r="B1819">
        <v>3</v>
      </c>
      <c r="C1819">
        <v>132</v>
      </c>
      <c r="D1819">
        <v>80</v>
      </c>
      <c r="E1819">
        <v>0</v>
      </c>
      <c r="F1819">
        <v>0</v>
      </c>
      <c r="G1819">
        <v>34.4</v>
      </c>
      <c r="H1819">
        <v>0.40200000000000002</v>
      </c>
      <c r="I1819">
        <v>44</v>
      </c>
      <c r="J1819">
        <v>1</v>
      </c>
      <c r="K1819" t="str">
        <f t="shared" si="56"/>
        <v>Middle-Aged</v>
      </c>
      <c r="L1819" t="str">
        <f t="shared" si="57"/>
        <v>Obese</v>
      </c>
    </row>
    <row r="1820" spans="1:12" x14ac:dyDescent="0.2">
      <c r="A1820">
        <v>1819</v>
      </c>
      <c r="B1820">
        <v>2</v>
      </c>
      <c r="C1820">
        <v>82</v>
      </c>
      <c r="D1820">
        <v>52</v>
      </c>
      <c r="E1820">
        <v>22</v>
      </c>
      <c r="F1820">
        <v>115</v>
      </c>
      <c r="G1820">
        <v>28.5</v>
      </c>
      <c r="H1820">
        <v>1.6990000000000001</v>
      </c>
      <c r="I1820">
        <v>25</v>
      </c>
      <c r="J1820">
        <v>0</v>
      </c>
      <c r="K1820" t="str">
        <f t="shared" si="56"/>
        <v>Young</v>
      </c>
      <c r="L1820" t="str">
        <f t="shared" si="57"/>
        <v>Overweight</v>
      </c>
    </row>
    <row r="1821" spans="1:12" x14ac:dyDescent="0.2">
      <c r="A1821">
        <v>1820</v>
      </c>
      <c r="B1821">
        <v>6</v>
      </c>
      <c r="C1821">
        <v>123</v>
      </c>
      <c r="D1821">
        <v>72</v>
      </c>
      <c r="E1821">
        <v>45</v>
      </c>
      <c r="F1821">
        <v>230</v>
      </c>
      <c r="G1821">
        <v>33.6</v>
      </c>
      <c r="H1821">
        <v>0.73299999999999998</v>
      </c>
      <c r="I1821">
        <v>34</v>
      </c>
      <c r="J1821">
        <v>0</v>
      </c>
      <c r="K1821" t="str">
        <f t="shared" si="56"/>
        <v>Middle-Aged</v>
      </c>
      <c r="L1821" t="str">
        <f t="shared" si="57"/>
        <v>Obese</v>
      </c>
    </row>
    <row r="1822" spans="1:12" x14ac:dyDescent="0.2">
      <c r="A1822">
        <v>1821</v>
      </c>
      <c r="B1822">
        <v>0</v>
      </c>
      <c r="C1822">
        <v>188</v>
      </c>
      <c r="D1822">
        <v>82</v>
      </c>
      <c r="E1822">
        <v>14</v>
      </c>
      <c r="F1822">
        <v>185</v>
      </c>
      <c r="G1822">
        <v>32</v>
      </c>
      <c r="H1822">
        <v>0.68200000000000005</v>
      </c>
      <c r="I1822">
        <v>22</v>
      </c>
      <c r="J1822">
        <v>1</v>
      </c>
      <c r="K1822" t="str">
        <f t="shared" si="56"/>
        <v>Young</v>
      </c>
      <c r="L1822" t="str">
        <f t="shared" si="57"/>
        <v>Obese</v>
      </c>
    </row>
    <row r="1823" spans="1:12" x14ac:dyDescent="0.2">
      <c r="A1823">
        <v>1822</v>
      </c>
      <c r="B1823">
        <v>0</v>
      </c>
      <c r="C1823">
        <v>67</v>
      </c>
      <c r="D1823">
        <v>76</v>
      </c>
      <c r="E1823">
        <v>0</v>
      </c>
      <c r="F1823">
        <v>0</v>
      </c>
      <c r="G1823">
        <v>45.3</v>
      </c>
      <c r="H1823">
        <v>0.19400000000000001</v>
      </c>
      <c r="I1823">
        <v>46</v>
      </c>
      <c r="J1823">
        <v>0</v>
      </c>
      <c r="K1823" t="str">
        <f t="shared" si="56"/>
        <v>Senior</v>
      </c>
      <c r="L1823" t="str">
        <f t="shared" si="57"/>
        <v>Obese</v>
      </c>
    </row>
    <row r="1824" spans="1:12" x14ac:dyDescent="0.2">
      <c r="A1824">
        <v>1823</v>
      </c>
      <c r="B1824">
        <v>1</v>
      </c>
      <c r="C1824">
        <v>89</v>
      </c>
      <c r="D1824">
        <v>24</v>
      </c>
      <c r="E1824">
        <v>19</v>
      </c>
      <c r="F1824">
        <v>25</v>
      </c>
      <c r="G1824">
        <v>27.8</v>
      </c>
      <c r="H1824">
        <v>0.55900000000000005</v>
      </c>
      <c r="I1824">
        <v>21</v>
      </c>
      <c r="J1824">
        <v>0</v>
      </c>
      <c r="K1824" t="str">
        <f t="shared" si="56"/>
        <v>Young</v>
      </c>
      <c r="L1824" t="str">
        <f t="shared" si="57"/>
        <v>Overweight</v>
      </c>
    </row>
    <row r="1825" spans="1:12" x14ac:dyDescent="0.2">
      <c r="A1825">
        <v>1824</v>
      </c>
      <c r="B1825">
        <v>1</v>
      </c>
      <c r="C1825">
        <v>173</v>
      </c>
      <c r="D1825">
        <v>74</v>
      </c>
      <c r="E1825">
        <v>0</v>
      </c>
      <c r="F1825">
        <v>0</v>
      </c>
      <c r="G1825">
        <v>36.799999999999997</v>
      </c>
      <c r="H1825">
        <v>8.7999999999999995E-2</v>
      </c>
      <c r="I1825">
        <v>38</v>
      </c>
      <c r="J1825">
        <v>1</v>
      </c>
      <c r="K1825" t="str">
        <f t="shared" si="56"/>
        <v>Middle-Aged</v>
      </c>
      <c r="L1825" t="str">
        <f t="shared" si="57"/>
        <v>Obese</v>
      </c>
    </row>
    <row r="1826" spans="1:12" x14ac:dyDescent="0.2">
      <c r="A1826">
        <v>1825</v>
      </c>
      <c r="B1826">
        <v>1</v>
      </c>
      <c r="C1826">
        <v>109</v>
      </c>
      <c r="D1826">
        <v>38</v>
      </c>
      <c r="E1826">
        <v>18</v>
      </c>
      <c r="F1826">
        <v>120</v>
      </c>
      <c r="G1826">
        <v>23.1</v>
      </c>
      <c r="H1826">
        <v>0.40699999999999997</v>
      </c>
      <c r="I1826">
        <v>26</v>
      </c>
      <c r="J1826">
        <v>0</v>
      </c>
      <c r="K1826" t="str">
        <f t="shared" si="56"/>
        <v>Young</v>
      </c>
      <c r="L1826" t="str">
        <f t="shared" si="57"/>
        <v>Normal</v>
      </c>
    </row>
    <row r="1827" spans="1:12" x14ac:dyDescent="0.2">
      <c r="A1827">
        <v>1826</v>
      </c>
      <c r="B1827">
        <v>1</v>
      </c>
      <c r="C1827">
        <v>108</v>
      </c>
      <c r="D1827">
        <v>88</v>
      </c>
      <c r="E1827">
        <v>19</v>
      </c>
      <c r="F1827">
        <v>0</v>
      </c>
      <c r="G1827">
        <v>27.1</v>
      </c>
      <c r="H1827">
        <v>0.4</v>
      </c>
      <c r="I1827">
        <v>24</v>
      </c>
      <c r="J1827">
        <v>0</v>
      </c>
      <c r="K1827" t="str">
        <f t="shared" si="56"/>
        <v>Young</v>
      </c>
      <c r="L1827" t="str">
        <f t="shared" si="57"/>
        <v>Overweight</v>
      </c>
    </row>
    <row r="1828" spans="1:12" x14ac:dyDescent="0.2">
      <c r="A1828">
        <v>1827</v>
      </c>
      <c r="B1828">
        <v>6</v>
      </c>
      <c r="C1828">
        <v>96</v>
      </c>
      <c r="D1828">
        <v>121</v>
      </c>
      <c r="E1828">
        <v>0</v>
      </c>
      <c r="F1828">
        <v>0</v>
      </c>
      <c r="G1828">
        <v>23.7</v>
      </c>
      <c r="H1828">
        <v>0.19</v>
      </c>
      <c r="I1828">
        <v>28</v>
      </c>
      <c r="J1828">
        <v>0</v>
      </c>
      <c r="K1828" t="str">
        <f t="shared" si="56"/>
        <v>Young</v>
      </c>
      <c r="L1828" t="str">
        <f t="shared" si="57"/>
        <v>Normal</v>
      </c>
    </row>
    <row r="1829" spans="1:12" x14ac:dyDescent="0.2">
      <c r="A1829">
        <v>1828</v>
      </c>
      <c r="B1829">
        <v>1</v>
      </c>
      <c r="C1829">
        <v>124</v>
      </c>
      <c r="D1829">
        <v>74</v>
      </c>
      <c r="E1829">
        <v>36</v>
      </c>
      <c r="F1829">
        <v>0</v>
      </c>
      <c r="G1829">
        <v>27.8</v>
      </c>
      <c r="H1829">
        <v>0.1</v>
      </c>
      <c r="I1829">
        <v>30</v>
      </c>
      <c r="J1829">
        <v>0</v>
      </c>
      <c r="K1829" t="str">
        <f t="shared" si="56"/>
        <v>Middle-Aged</v>
      </c>
      <c r="L1829" t="str">
        <f t="shared" si="57"/>
        <v>Overweight</v>
      </c>
    </row>
    <row r="1830" spans="1:12" x14ac:dyDescent="0.2">
      <c r="A1830">
        <v>1829</v>
      </c>
      <c r="B1830">
        <v>7</v>
      </c>
      <c r="C1830">
        <v>150</v>
      </c>
      <c r="D1830">
        <v>78</v>
      </c>
      <c r="E1830">
        <v>29</v>
      </c>
      <c r="F1830">
        <v>126</v>
      </c>
      <c r="G1830">
        <v>35.200000000000003</v>
      </c>
      <c r="H1830">
        <v>0.69199999999999995</v>
      </c>
      <c r="I1830">
        <v>54</v>
      </c>
      <c r="J1830">
        <v>1</v>
      </c>
      <c r="K1830" t="str">
        <f t="shared" si="56"/>
        <v>Senior</v>
      </c>
      <c r="L1830" t="str">
        <f t="shared" si="57"/>
        <v>Obese</v>
      </c>
    </row>
    <row r="1831" spans="1:12" x14ac:dyDescent="0.2">
      <c r="A1831">
        <v>1830</v>
      </c>
      <c r="B1831">
        <v>4</v>
      </c>
      <c r="C1831">
        <v>183</v>
      </c>
      <c r="D1831">
        <v>121</v>
      </c>
      <c r="E1831">
        <v>0</v>
      </c>
      <c r="F1831">
        <v>0</v>
      </c>
      <c r="G1831">
        <v>28.4</v>
      </c>
      <c r="H1831">
        <v>0.21199999999999999</v>
      </c>
      <c r="I1831">
        <v>36</v>
      </c>
      <c r="J1831">
        <v>1</v>
      </c>
      <c r="K1831" t="str">
        <f t="shared" si="56"/>
        <v>Middle-Aged</v>
      </c>
      <c r="L1831" t="str">
        <f t="shared" si="57"/>
        <v>Overweight</v>
      </c>
    </row>
    <row r="1832" spans="1:12" x14ac:dyDescent="0.2">
      <c r="A1832">
        <v>1831</v>
      </c>
      <c r="B1832">
        <v>1</v>
      </c>
      <c r="C1832">
        <v>124</v>
      </c>
      <c r="D1832">
        <v>60</v>
      </c>
      <c r="E1832">
        <v>32</v>
      </c>
      <c r="F1832">
        <v>0</v>
      </c>
      <c r="G1832">
        <v>35.799999999999997</v>
      </c>
      <c r="H1832">
        <v>0.51400000000000001</v>
      </c>
      <c r="I1832">
        <v>21</v>
      </c>
      <c r="J1832">
        <v>0</v>
      </c>
      <c r="K1832" t="str">
        <f t="shared" si="56"/>
        <v>Young</v>
      </c>
      <c r="L1832" t="str">
        <f t="shared" si="57"/>
        <v>Obese</v>
      </c>
    </row>
    <row r="1833" spans="1:12" x14ac:dyDescent="0.2">
      <c r="A1833">
        <v>1832</v>
      </c>
      <c r="B1833">
        <v>1</v>
      </c>
      <c r="C1833">
        <v>181</v>
      </c>
      <c r="D1833">
        <v>78</v>
      </c>
      <c r="E1833">
        <v>42</v>
      </c>
      <c r="F1833">
        <v>293</v>
      </c>
      <c r="G1833">
        <v>40</v>
      </c>
      <c r="H1833">
        <v>1.258</v>
      </c>
      <c r="I1833">
        <v>22</v>
      </c>
      <c r="J1833">
        <v>1</v>
      </c>
      <c r="K1833" t="str">
        <f t="shared" si="56"/>
        <v>Young</v>
      </c>
      <c r="L1833" t="str">
        <f t="shared" si="57"/>
        <v>Obese</v>
      </c>
    </row>
    <row r="1834" spans="1:12" x14ac:dyDescent="0.2">
      <c r="A1834">
        <v>1833</v>
      </c>
      <c r="B1834">
        <v>1</v>
      </c>
      <c r="C1834">
        <v>92</v>
      </c>
      <c r="D1834">
        <v>62</v>
      </c>
      <c r="E1834">
        <v>25</v>
      </c>
      <c r="F1834">
        <v>41</v>
      </c>
      <c r="G1834">
        <v>19.5</v>
      </c>
      <c r="H1834">
        <v>0.48199999999999998</v>
      </c>
      <c r="I1834">
        <v>25</v>
      </c>
      <c r="J1834">
        <v>0</v>
      </c>
      <c r="K1834" t="str">
        <f t="shared" si="56"/>
        <v>Young</v>
      </c>
      <c r="L1834" t="str">
        <f t="shared" si="57"/>
        <v>Normal</v>
      </c>
    </row>
    <row r="1835" spans="1:12" x14ac:dyDescent="0.2">
      <c r="A1835">
        <v>1834</v>
      </c>
      <c r="B1835">
        <v>0</v>
      </c>
      <c r="C1835">
        <v>152</v>
      </c>
      <c r="D1835">
        <v>82</v>
      </c>
      <c r="E1835">
        <v>39</v>
      </c>
      <c r="F1835">
        <v>272</v>
      </c>
      <c r="G1835">
        <v>41.5</v>
      </c>
      <c r="H1835">
        <v>0.27</v>
      </c>
      <c r="I1835">
        <v>27</v>
      </c>
      <c r="J1835">
        <v>0</v>
      </c>
      <c r="K1835" t="str">
        <f t="shared" si="56"/>
        <v>Young</v>
      </c>
      <c r="L1835" t="str">
        <f t="shared" si="57"/>
        <v>Obese</v>
      </c>
    </row>
    <row r="1836" spans="1:12" x14ac:dyDescent="0.2">
      <c r="A1836">
        <v>1835</v>
      </c>
      <c r="B1836">
        <v>1</v>
      </c>
      <c r="C1836">
        <v>111</v>
      </c>
      <c r="D1836">
        <v>62</v>
      </c>
      <c r="E1836">
        <v>13</v>
      </c>
      <c r="F1836">
        <v>182</v>
      </c>
      <c r="G1836">
        <v>24</v>
      </c>
      <c r="H1836">
        <v>0.13800000000000001</v>
      </c>
      <c r="I1836">
        <v>23</v>
      </c>
      <c r="J1836">
        <v>0</v>
      </c>
      <c r="K1836" t="str">
        <f t="shared" si="56"/>
        <v>Young</v>
      </c>
      <c r="L1836" t="str">
        <f t="shared" si="57"/>
        <v>Normal</v>
      </c>
    </row>
    <row r="1837" spans="1:12" x14ac:dyDescent="0.2">
      <c r="A1837">
        <v>1836</v>
      </c>
      <c r="B1837">
        <v>3</v>
      </c>
      <c r="C1837">
        <v>106</v>
      </c>
      <c r="D1837">
        <v>54</v>
      </c>
      <c r="E1837">
        <v>21</v>
      </c>
      <c r="F1837">
        <v>158</v>
      </c>
      <c r="G1837">
        <v>30.9</v>
      </c>
      <c r="H1837">
        <v>0.29199999999999998</v>
      </c>
      <c r="I1837">
        <v>24</v>
      </c>
      <c r="J1837">
        <v>0</v>
      </c>
      <c r="K1837" t="str">
        <f t="shared" si="56"/>
        <v>Young</v>
      </c>
      <c r="L1837" t="str">
        <f t="shared" si="57"/>
        <v>Obese</v>
      </c>
    </row>
    <row r="1838" spans="1:12" x14ac:dyDescent="0.2">
      <c r="A1838">
        <v>1837</v>
      </c>
      <c r="B1838">
        <v>3</v>
      </c>
      <c r="C1838">
        <v>174</v>
      </c>
      <c r="D1838">
        <v>58</v>
      </c>
      <c r="E1838">
        <v>22</v>
      </c>
      <c r="F1838">
        <v>194</v>
      </c>
      <c r="G1838">
        <v>32.9</v>
      </c>
      <c r="H1838">
        <v>0.59299999999999997</v>
      </c>
      <c r="I1838">
        <v>36</v>
      </c>
      <c r="J1838">
        <v>1</v>
      </c>
      <c r="K1838" t="str">
        <f t="shared" si="56"/>
        <v>Middle-Aged</v>
      </c>
      <c r="L1838" t="str">
        <f t="shared" si="57"/>
        <v>Obese</v>
      </c>
    </row>
    <row r="1839" spans="1:12" x14ac:dyDescent="0.2">
      <c r="A1839">
        <v>1838</v>
      </c>
      <c r="B1839">
        <v>7</v>
      </c>
      <c r="C1839">
        <v>168</v>
      </c>
      <c r="D1839">
        <v>88</v>
      </c>
      <c r="E1839">
        <v>42</v>
      </c>
      <c r="F1839">
        <v>321</v>
      </c>
      <c r="G1839">
        <v>38.200000000000003</v>
      </c>
      <c r="H1839">
        <v>0.78700000000000003</v>
      </c>
      <c r="I1839">
        <v>40</v>
      </c>
      <c r="J1839">
        <v>1</v>
      </c>
      <c r="K1839" t="str">
        <f t="shared" si="56"/>
        <v>Middle-Aged</v>
      </c>
      <c r="L1839" t="str">
        <f t="shared" si="57"/>
        <v>Obese</v>
      </c>
    </row>
    <row r="1840" spans="1:12" x14ac:dyDescent="0.2">
      <c r="A1840">
        <v>1839</v>
      </c>
      <c r="B1840">
        <v>6</v>
      </c>
      <c r="C1840">
        <v>105</v>
      </c>
      <c r="D1840">
        <v>80</v>
      </c>
      <c r="E1840">
        <v>28</v>
      </c>
      <c r="F1840">
        <v>0</v>
      </c>
      <c r="G1840">
        <v>32.5</v>
      </c>
      <c r="H1840">
        <v>0.878</v>
      </c>
      <c r="I1840">
        <v>26</v>
      </c>
      <c r="J1840">
        <v>0</v>
      </c>
      <c r="K1840" t="str">
        <f t="shared" si="56"/>
        <v>Young</v>
      </c>
      <c r="L1840" t="str">
        <f t="shared" si="57"/>
        <v>Obese</v>
      </c>
    </row>
    <row r="1841" spans="1:12" x14ac:dyDescent="0.2">
      <c r="A1841">
        <v>1840</v>
      </c>
      <c r="B1841">
        <v>11</v>
      </c>
      <c r="C1841">
        <v>138</v>
      </c>
      <c r="D1841">
        <v>74</v>
      </c>
      <c r="E1841">
        <v>26</v>
      </c>
      <c r="F1841">
        <v>144</v>
      </c>
      <c r="G1841">
        <v>36.1</v>
      </c>
      <c r="H1841">
        <v>0.55700000000000005</v>
      </c>
      <c r="I1841">
        <v>50</v>
      </c>
      <c r="J1841">
        <v>1</v>
      </c>
      <c r="K1841" t="str">
        <f t="shared" si="56"/>
        <v>Senior</v>
      </c>
      <c r="L1841" t="str">
        <f t="shared" si="57"/>
        <v>Obese</v>
      </c>
    </row>
    <row r="1842" spans="1:12" x14ac:dyDescent="0.2">
      <c r="A1842">
        <v>1841</v>
      </c>
      <c r="B1842">
        <v>3</v>
      </c>
      <c r="C1842">
        <v>106</v>
      </c>
      <c r="D1842">
        <v>72</v>
      </c>
      <c r="E1842">
        <v>0</v>
      </c>
      <c r="F1842">
        <v>0</v>
      </c>
      <c r="G1842">
        <v>25.8</v>
      </c>
      <c r="H1842">
        <v>0.20699999999999999</v>
      </c>
      <c r="I1842">
        <v>27</v>
      </c>
      <c r="J1842">
        <v>0</v>
      </c>
      <c r="K1842" t="str">
        <f t="shared" si="56"/>
        <v>Young</v>
      </c>
      <c r="L1842" t="str">
        <f t="shared" si="57"/>
        <v>Overweight</v>
      </c>
    </row>
    <row r="1843" spans="1:12" x14ac:dyDescent="0.2">
      <c r="A1843">
        <v>1842</v>
      </c>
      <c r="B1843">
        <v>6</v>
      </c>
      <c r="C1843">
        <v>117</v>
      </c>
      <c r="D1843">
        <v>96</v>
      </c>
      <c r="E1843">
        <v>0</v>
      </c>
      <c r="F1843">
        <v>0</v>
      </c>
      <c r="G1843">
        <v>28.7</v>
      </c>
      <c r="H1843">
        <v>0.157</v>
      </c>
      <c r="I1843">
        <v>30</v>
      </c>
      <c r="J1843">
        <v>0</v>
      </c>
      <c r="K1843" t="str">
        <f t="shared" si="56"/>
        <v>Middle-Aged</v>
      </c>
      <c r="L1843" t="str">
        <f t="shared" si="57"/>
        <v>Overweight</v>
      </c>
    </row>
    <row r="1844" spans="1:12" x14ac:dyDescent="0.2">
      <c r="A1844">
        <v>1843</v>
      </c>
      <c r="B1844">
        <v>2</v>
      </c>
      <c r="C1844">
        <v>68</v>
      </c>
      <c r="D1844">
        <v>62</v>
      </c>
      <c r="E1844">
        <v>13</v>
      </c>
      <c r="F1844">
        <v>15</v>
      </c>
      <c r="G1844">
        <v>20.100000000000001</v>
      </c>
      <c r="H1844">
        <v>0.25700000000000001</v>
      </c>
      <c r="I1844">
        <v>23</v>
      </c>
      <c r="J1844">
        <v>0</v>
      </c>
      <c r="K1844" t="str">
        <f t="shared" si="56"/>
        <v>Young</v>
      </c>
      <c r="L1844" t="str">
        <f t="shared" si="57"/>
        <v>Normal</v>
      </c>
    </row>
    <row r="1845" spans="1:12" x14ac:dyDescent="0.2">
      <c r="A1845">
        <v>1844</v>
      </c>
      <c r="B1845">
        <v>9</v>
      </c>
      <c r="C1845">
        <v>112</v>
      </c>
      <c r="D1845">
        <v>82</v>
      </c>
      <c r="E1845">
        <v>24</v>
      </c>
      <c r="F1845">
        <v>0</v>
      </c>
      <c r="G1845">
        <v>28.2</v>
      </c>
      <c r="H1845">
        <v>1.282</v>
      </c>
      <c r="I1845">
        <v>50</v>
      </c>
      <c r="J1845">
        <v>1</v>
      </c>
      <c r="K1845" t="str">
        <f t="shared" si="56"/>
        <v>Senior</v>
      </c>
      <c r="L1845" t="str">
        <f t="shared" si="57"/>
        <v>Overweight</v>
      </c>
    </row>
    <row r="1846" spans="1:12" x14ac:dyDescent="0.2">
      <c r="A1846">
        <v>1845</v>
      </c>
      <c r="B1846">
        <v>0</v>
      </c>
      <c r="C1846">
        <v>119</v>
      </c>
      <c r="D1846">
        <v>121</v>
      </c>
      <c r="E1846">
        <v>0</v>
      </c>
      <c r="F1846">
        <v>0</v>
      </c>
      <c r="G1846">
        <v>32.4</v>
      </c>
      <c r="H1846">
        <v>0.14099999999999999</v>
      </c>
      <c r="I1846">
        <v>24</v>
      </c>
      <c r="J1846">
        <v>1</v>
      </c>
      <c r="K1846" t="str">
        <f t="shared" si="56"/>
        <v>Young</v>
      </c>
      <c r="L1846" t="str">
        <f t="shared" si="57"/>
        <v>Obese</v>
      </c>
    </row>
    <row r="1847" spans="1:12" x14ac:dyDescent="0.2">
      <c r="A1847">
        <v>1846</v>
      </c>
      <c r="B1847">
        <v>2</v>
      </c>
      <c r="C1847">
        <v>112</v>
      </c>
      <c r="D1847">
        <v>86</v>
      </c>
      <c r="E1847">
        <v>42</v>
      </c>
      <c r="F1847">
        <v>160</v>
      </c>
      <c r="G1847">
        <v>38.4</v>
      </c>
      <c r="H1847">
        <v>0.246</v>
      </c>
      <c r="I1847">
        <v>28</v>
      </c>
      <c r="J1847">
        <v>0</v>
      </c>
      <c r="K1847" t="str">
        <f t="shared" si="56"/>
        <v>Young</v>
      </c>
      <c r="L1847" t="str">
        <f t="shared" si="57"/>
        <v>Obese</v>
      </c>
    </row>
    <row r="1848" spans="1:12" x14ac:dyDescent="0.2">
      <c r="A1848">
        <v>1847</v>
      </c>
      <c r="B1848">
        <v>2</v>
      </c>
      <c r="C1848">
        <v>92</v>
      </c>
      <c r="D1848">
        <v>76</v>
      </c>
      <c r="E1848">
        <v>20</v>
      </c>
      <c r="F1848">
        <v>0</v>
      </c>
      <c r="G1848">
        <v>24.2</v>
      </c>
      <c r="H1848">
        <v>1.698</v>
      </c>
      <c r="I1848">
        <v>28</v>
      </c>
      <c r="J1848">
        <v>0</v>
      </c>
      <c r="K1848" t="str">
        <f t="shared" si="56"/>
        <v>Young</v>
      </c>
      <c r="L1848" t="str">
        <f t="shared" si="57"/>
        <v>Normal</v>
      </c>
    </row>
    <row r="1849" spans="1:12" x14ac:dyDescent="0.2">
      <c r="A1849">
        <v>1848</v>
      </c>
      <c r="B1849">
        <v>6</v>
      </c>
      <c r="C1849">
        <v>183</v>
      </c>
      <c r="D1849">
        <v>94</v>
      </c>
      <c r="E1849">
        <v>0</v>
      </c>
      <c r="F1849">
        <v>0</v>
      </c>
      <c r="G1849">
        <v>40.799999999999997</v>
      </c>
      <c r="H1849">
        <v>1.4610000000000001</v>
      </c>
      <c r="I1849">
        <v>45</v>
      </c>
      <c r="J1849">
        <v>0</v>
      </c>
      <c r="K1849" t="str">
        <f t="shared" si="56"/>
        <v>Senior</v>
      </c>
      <c r="L1849" t="str">
        <f t="shared" si="57"/>
        <v>Obese</v>
      </c>
    </row>
    <row r="1850" spans="1:12" x14ac:dyDescent="0.2">
      <c r="A1850">
        <v>1849</v>
      </c>
      <c r="B1850">
        <v>0</v>
      </c>
      <c r="C1850">
        <v>94</v>
      </c>
      <c r="D1850">
        <v>70</v>
      </c>
      <c r="E1850">
        <v>27</v>
      </c>
      <c r="F1850">
        <v>115</v>
      </c>
      <c r="G1850">
        <v>43.5</v>
      </c>
      <c r="H1850">
        <v>0.34699999999999998</v>
      </c>
      <c r="I1850">
        <v>21</v>
      </c>
      <c r="J1850">
        <v>0</v>
      </c>
      <c r="K1850" t="str">
        <f t="shared" si="56"/>
        <v>Young</v>
      </c>
      <c r="L1850" t="str">
        <f t="shared" si="57"/>
        <v>Obese</v>
      </c>
    </row>
    <row r="1851" spans="1:12" x14ac:dyDescent="0.2">
      <c r="A1851">
        <v>1850</v>
      </c>
      <c r="B1851">
        <v>2</v>
      </c>
      <c r="C1851">
        <v>108</v>
      </c>
      <c r="D1851">
        <v>64</v>
      </c>
      <c r="E1851">
        <v>0</v>
      </c>
      <c r="F1851">
        <v>0</v>
      </c>
      <c r="G1851">
        <v>30.8</v>
      </c>
      <c r="H1851">
        <v>0.158</v>
      </c>
      <c r="I1851">
        <v>21</v>
      </c>
      <c r="J1851">
        <v>0</v>
      </c>
      <c r="K1851" t="str">
        <f t="shared" si="56"/>
        <v>Young</v>
      </c>
      <c r="L1851" t="str">
        <f t="shared" si="57"/>
        <v>Obese</v>
      </c>
    </row>
    <row r="1852" spans="1:12" x14ac:dyDescent="0.2">
      <c r="A1852">
        <v>1851</v>
      </c>
      <c r="B1852">
        <v>4</v>
      </c>
      <c r="C1852">
        <v>90</v>
      </c>
      <c r="D1852">
        <v>88</v>
      </c>
      <c r="E1852">
        <v>47</v>
      </c>
      <c r="F1852">
        <v>54</v>
      </c>
      <c r="G1852">
        <v>37.700000000000003</v>
      </c>
      <c r="H1852">
        <v>0.36199999999999999</v>
      </c>
      <c r="I1852">
        <v>29</v>
      </c>
      <c r="J1852">
        <v>0</v>
      </c>
      <c r="K1852" t="str">
        <f t="shared" si="56"/>
        <v>Young</v>
      </c>
      <c r="L1852" t="str">
        <f t="shared" si="57"/>
        <v>Obese</v>
      </c>
    </row>
    <row r="1853" spans="1:12" x14ac:dyDescent="0.2">
      <c r="A1853">
        <v>1852</v>
      </c>
      <c r="B1853">
        <v>0</v>
      </c>
      <c r="C1853">
        <v>125</v>
      </c>
      <c r="D1853">
        <v>68</v>
      </c>
      <c r="E1853">
        <v>0</v>
      </c>
      <c r="F1853">
        <v>0</v>
      </c>
      <c r="G1853">
        <v>24.7</v>
      </c>
      <c r="H1853">
        <v>0.20599999999999999</v>
      </c>
      <c r="I1853">
        <v>21</v>
      </c>
      <c r="J1853">
        <v>0</v>
      </c>
      <c r="K1853" t="str">
        <f t="shared" si="56"/>
        <v>Young</v>
      </c>
      <c r="L1853" t="str">
        <f t="shared" si="57"/>
        <v>Normal</v>
      </c>
    </row>
    <row r="1854" spans="1:12" x14ac:dyDescent="0.2">
      <c r="A1854">
        <v>1853</v>
      </c>
      <c r="B1854">
        <v>0</v>
      </c>
      <c r="C1854">
        <v>132</v>
      </c>
      <c r="D1854">
        <v>78</v>
      </c>
      <c r="E1854">
        <v>0</v>
      </c>
      <c r="F1854">
        <v>0</v>
      </c>
      <c r="G1854">
        <v>32.4</v>
      </c>
      <c r="H1854">
        <v>0.39300000000000002</v>
      </c>
      <c r="I1854">
        <v>21</v>
      </c>
      <c r="J1854">
        <v>0</v>
      </c>
      <c r="K1854" t="str">
        <f t="shared" si="56"/>
        <v>Young</v>
      </c>
      <c r="L1854" t="str">
        <f t="shared" si="57"/>
        <v>Obese</v>
      </c>
    </row>
    <row r="1855" spans="1:12" x14ac:dyDescent="0.2">
      <c r="A1855">
        <v>1854</v>
      </c>
      <c r="B1855">
        <v>5</v>
      </c>
      <c r="C1855">
        <v>128</v>
      </c>
      <c r="D1855">
        <v>80</v>
      </c>
      <c r="E1855">
        <v>0</v>
      </c>
      <c r="F1855">
        <v>0</v>
      </c>
      <c r="G1855">
        <v>34.6</v>
      </c>
      <c r="H1855">
        <v>0.14399999999999999</v>
      </c>
      <c r="I1855">
        <v>45</v>
      </c>
      <c r="J1855">
        <v>0</v>
      </c>
      <c r="K1855" t="str">
        <f t="shared" si="56"/>
        <v>Senior</v>
      </c>
      <c r="L1855" t="str">
        <f t="shared" si="57"/>
        <v>Obese</v>
      </c>
    </row>
    <row r="1856" spans="1:12" x14ac:dyDescent="0.2">
      <c r="A1856">
        <v>1855</v>
      </c>
      <c r="B1856">
        <v>4</v>
      </c>
      <c r="C1856">
        <v>94</v>
      </c>
      <c r="D1856">
        <v>65</v>
      </c>
      <c r="E1856">
        <v>22</v>
      </c>
      <c r="F1856">
        <v>0</v>
      </c>
      <c r="G1856">
        <v>24.7</v>
      </c>
      <c r="H1856">
        <v>0.14799999999999999</v>
      </c>
      <c r="I1856">
        <v>21</v>
      </c>
      <c r="J1856">
        <v>0</v>
      </c>
      <c r="K1856" t="str">
        <f t="shared" si="56"/>
        <v>Young</v>
      </c>
      <c r="L1856" t="str">
        <f t="shared" si="57"/>
        <v>Normal</v>
      </c>
    </row>
    <row r="1857" spans="1:12" x14ac:dyDescent="0.2">
      <c r="A1857">
        <v>1856</v>
      </c>
      <c r="B1857">
        <v>7</v>
      </c>
      <c r="C1857">
        <v>114</v>
      </c>
      <c r="D1857">
        <v>64</v>
      </c>
      <c r="E1857">
        <v>0</v>
      </c>
      <c r="F1857">
        <v>0</v>
      </c>
      <c r="G1857">
        <v>27.4</v>
      </c>
      <c r="H1857">
        <v>0.73199999999999998</v>
      </c>
      <c r="I1857">
        <v>34</v>
      </c>
      <c r="J1857">
        <v>1</v>
      </c>
      <c r="K1857" t="str">
        <f t="shared" si="56"/>
        <v>Middle-Aged</v>
      </c>
      <c r="L1857" t="str">
        <f t="shared" si="57"/>
        <v>Overweight</v>
      </c>
    </row>
    <row r="1858" spans="1:12" x14ac:dyDescent="0.2">
      <c r="A1858">
        <v>1857</v>
      </c>
      <c r="B1858">
        <v>0</v>
      </c>
      <c r="C1858">
        <v>102</v>
      </c>
      <c r="D1858">
        <v>78</v>
      </c>
      <c r="E1858">
        <v>40</v>
      </c>
      <c r="F1858">
        <v>90</v>
      </c>
      <c r="G1858">
        <v>34.5</v>
      </c>
      <c r="H1858">
        <v>0.23799999999999999</v>
      </c>
      <c r="I1858">
        <v>24</v>
      </c>
      <c r="J1858">
        <v>0</v>
      </c>
      <c r="K1858" t="str">
        <f t="shared" si="56"/>
        <v>Young</v>
      </c>
      <c r="L1858" t="str">
        <f t="shared" si="57"/>
        <v>Obese</v>
      </c>
    </row>
    <row r="1859" spans="1:12" x14ac:dyDescent="0.2">
      <c r="A1859">
        <v>1858</v>
      </c>
      <c r="B1859">
        <v>2</v>
      </c>
      <c r="C1859">
        <v>111</v>
      </c>
      <c r="D1859">
        <v>60</v>
      </c>
      <c r="E1859">
        <v>0</v>
      </c>
      <c r="F1859">
        <v>0</v>
      </c>
      <c r="G1859">
        <v>26.2</v>
      </c>
      <c r="H1859">
        <v>0.34300000000000003</v>
      </c>
      <c r="I1859">
        <v>23</v>
      </c>
      <c r="J1859">
        <v>0</v>
      </c>
      <c r="K1859" t="str">
        <f t="shared" ref="K1859:K1922" si="58">IF(I1859&lt;30, "Young", IF( I1859&lt;45, "Middle-Aged", "Senior"))</f>
        <v>Young</v>
      </c>
      <c r="L1859" t="str">
        <f t="shared" ref="L1859:L1922" si="59">IF(G1859&lt;18.5, "Underweight", IF(G1859&lt;25, "Normal", IF(G1859&lt;30, "Overweight", "Obese")))</f>
        <v>Overweight</v>
      </c>
    </row>
    <row r="1860" spans="1:12" x14ac:dyDescent="0.2">
      <c r="A1860">
        <v>1859</v>
      </c>
      <c r="B1860">
        <v>1</v>
      </c>
      <c r="C1860">
        <v>128</v>
      </c>
      <c r="D1860">
        <v>82</v>
      </c>
      <c r="E1860">
        <v>17</v>
      </c>
      <c r="F1860">
        <v>183</v>
      </c>
      <c r="G1860">
        <v>27.5</v>
      </c>
      <c r="H1860">
        <v>0.115</v>
      </c>
      <c r="I1860">
        <v>22</v>
      </c>
      <c r="J1860">
        <v>0</v>
      </c>
      <c r="K1860" t="str">
        <f t="shared" si="58"/>
        <v>Young</v>
      </c>
      <c r="L1860" t="str">
        <f t="shared" si="59"/>
        <v>Overweight</v>
      </c>
    </row>
    <row r="1861" spans="1:12" x14ac:dyDescent="0.2">
      <c r="A1861">
        <v>1860</v>
      </c>
      <c r="B1861">
        <v>10</v>
      </c>
      <c r="C1861">
        <v>92</v>
      </c>
      <c r="D1861">
        <v>62</v>
      </c>
      <c r="E1861">
        <v>0</v>
      </c>
      <c r="F1861">
        <v>0</v>
      </c>
      <c r="G1861">
        <v>25.9</v>
      </c>
      <c r="H1861">
        <v>0.16700000000000001</v>
      </c>
      <c r="I1861">
        <v>31</v>
      </c>
      <c r="J1861">
        <v>0</v>
      </c>
      <c r="K1861" t="str">
        <f t="shared" si="58"/>
        <v>Middle-Aged</v>
      </c>
      <c r="L1861" t="str">
        <f t="shared" si="59"/>
        <v>Overweight</v>
      </c>
    </row>
    <row r="1862" spans="1:12" x14ac:dyDescent="0.2">
      <c r="A1862">
        <v>1861</v>
      </c>
      <c r="B1862">
        <v>13</v>
      </c>
      <c r="C1862">
        <v>104</v>
      </c>
      <c r="D1862">
        <v>72</v>
      </c>
      <c r="E1862">
        <v>0</v>
      </c>
      <c r="F1862">
        <v>0</v>
      </c>
      <c r="G1862">
        <v>31.2</v>
      </c>
      <c r="H1862">
        <v>0.46500000000000002</v>
      </c>
      <c r="I1862">
        <v>38</v>
      </c>
      <c r="J1862">
        <v>1</v>
      </c>
      <c r="K1862" t="str">
        <f t="shared" si="58"/>
        <v>Middle-Aged</v>
      </c>
      <c r="L1862" t="str">
        <f t="shared" si="59"/>
        <v>Obese</v>
      </c>
    </row>
    <row r="1863" spans="1:12" x14ac:dyDescent="0.2">
      <c r="A1863">
        <v>1862</v>
      </c>
      <c r="B1863">
        <v>5</v>
      </c>
      <c r="C1863">
        <v>104</v>
      </c>
      <c r="D1863">
        <v>74</v>
      </c>
      <c r="E1863">
        <v>0</v>
      </c>
      <c r="F1863">
        <v>0</v>
      </c>
      <c r="G1863">
        <v>28.8</v>
      </c>
      <c r="H1863">
        <v>0.153</v>
      </c>
      <c r="I1863">
        <v>48</v>
      </c>
      <c r="J1863">
        <v>0</v>
      </c>
      <c r="K1863" t="str">
        <f t="shared" si="58"/>
        <v>Senior</v>
      </c>
      <c r="L1863" t="str">
        <f t="shared" si="59"/>
        <v>Overweight</v>
      </c>
    </row>
    <row r="1864" spans="1:12" x14ac:dyDescent="0.2">
      <c r="A1864">
        <v>1863</v>
      </c>
      <c r="B1864">
        <v>2</v>
      </c>
      <c r="C1864">
        <v>94</v>
      </c>
      <c r="D1864">
        <v>76</v>
      </c>
      <c r="E1864">
        <v>18</v>
      </c>
      <c r="F1864">
        <v>66</v>
      </c>
      <c r="G1864">
        <v>31.6</v>
      </c>
      <c r="H1864">
        <v>0.64900000000000002</v>
      </c>
      <c r="I1864">
        <v>23</v>
      </c>
      <c r="J1864">
        <v>0</v>
      </c>
      <c r="K1864" t="str">
        <f t="shared" si="58"/>
        <v>Young</v>
      </c>
      <c r="L1864" t="str">
        <f t="shared" si="59"/>
        <v>Obese</v>
      </c>
    </row>
    <row r="1865" spans="1:12" x14ac:dyDescent="0.2">
      <c r="A1865">
        <v>1864</v>
      </c>
      <c r="B1865">
        <v>7</v>
      </c>
      <c r="C1865">
        <v>97</v>
      </c>
      <c r="D1865">
        <v>76</v>
      </c>
      <c r="E1865">
        <v>32</v>
      </c>
      <c r="F1865">
        <v>91</v>
      </c>
      <c r="G1865">
        <v>40.9</v>
      </c>
      <c r="H1865">
        <v>0.871</v>
      </c>
      <c r="I1865">
        <v>32</v>
      </c>
      <c r="J1865">
        <v>1</v>
      </c>
      <c r="K1865" t="str">
        <f t="shared" si="58"/>
        <v>Middle-Aged</v>
      </c>
      <c r="L1865" t="str">
        <f t="shared" si="59"/>
        <v>Obese</v>
      </c>
    </row>
    <row r="1866" spans="1:12" x14ac:dyDescent="0.2">
      <c r="A1866">
        <v>1865</v>
      </c>
      <c r="B1866">
        <v>1</v>
      </c>
      <c r="C1866">
        <v>100</v>
      </c>
      <c r="D1866">
        <v>74</v>
      </c>
      <c r="E1866">
        <v>12</v>
      </c>
      <c r="F1866">
        <v>46</v>
      </c>
      <c r="G1866">
        <v>19.5</v>
      </c>
      <c r="H1866">
        <v>0.14899999999999999</v>
      </c>
      <c r="I1866">
        <v>28</v>
      </c>
      <c r="J1866">
        <v>0</v>
      </c>
      <c r="K1866" t="str">
        <f t="shared" si="58"/>
        <v>Young</v>
      </c>
      <c r="L1866" t="str">
        <f t="shared" si="59"/>
        <v>Normal</v>
      </c>
    </row>
    <row r="1867" spans="1:12" x14ac:dyDescent="0.2">
      <c r="A1867">
        <v>1866</v>
      </c>
      <c r="B1867">
        <v>0</v>
      </c>
      <c r="C1867">
        <v>102</v>
      </c>
      <c r="D1867">
        <v>86</v>
      </c>
      <c r="E1867">
        <v>17</v>
      </c>
      <c r="F1867">
        <v>105</v>
      </c>
      <c r="G1867">
        <v>29.3</v>
      </c>
      <c r="H1867">
        <v>0.69499999999999995</v>
      </c>
      <c r="I1867">
        <v>27</v>
      </c>
      <c r="J1867">
        <v>0</v>
      </c>
      <c r="K1867" t="str">
        <f t="shared" si="58"/>
        <v>Young</v>
      </c>
      <c r="L1867" t="str">
        <f t="shared" si="59"/>
        <v>Overweight</v>
      </c>
    </row>
    <row r="1868" spans="1:12" x14ac:dyDescent="0.2">
      <c r="A1868">
        <v>1867</v>
      </c>
      <c r="B1868">
        <v>4</v>
      </c>
      <c r="C1868">
        <v>128</v>
      </c>
      <c r="D1868">
        <v>70</v>
      </c>
      <c r="E1868">
        <v>0</v>
      </c>
      <c r="F1868">
        <v>0</v>
      </c>
      <c r="G1868">
        <v>34.299999999999997</v>
      </c>
      <c r="H1868">
        <v>0.30299999999999999</v>
      </c>
      <c r="I1868">
        <v>24</v>
      </c>
      <c r="J1868">
        <v>0</v>
      </c>
      <c r="K1868" t="str">
        <f t="shared" si="58"/>
        <v>Young</v>
      </c>
      <c r="L1868" t="str">
        <f t="shared" si="59"/>
        <v>Obese</v>
      </c>
    </row>
    <row r="1869" spans="1:12" x14ac:dyDescent="0.2">
      <c r="A1869">
        <v>1868</v>
      </c>
      <c r="B1869">
        <v>6</v>
      </c>
      <c r="C1869">
        <v>147</v>
      </c>
      <c r="D1869">
        <v>80</v>
      </c>
      <c r="E1869">
        <v>0</v>
      </c>
      <c r="F1869">
        <v>0</v>
      </c>
      <c r="G1869">
        <v>29.5</v>
      </c>
      <c r="H1869">
        <v>0.17799999999999999</v>
      </c>
      <c r="I1869">
        <v>50</v>
      </c>
      <c r="J1869">
        <v>1</v>
      </c>
      <c r="K1869" t="str">
        <f t="shared" si="58"/>
        <v>Senior</v>
      </c>
      <c r="L1869" t="str">
        <f t="shared" si="59"/>
        <v>Overweight</v>
      </c>
    </row>
    <row r="1870" spans="1:12" x14ac:dyDescent="0.2">
      <c r="A1870">
        <v>1869</v>
      </c>
      <c r="B1870">
        <v>4</v>
      </c>
      <c r="C1870">
        <v>90</v>
      </c>
      <c r="D1870">
        <v>121</v>
      </c>
      <c r="E1870">
        <v>0</v>
      </c>
      <c r="F1870">
        <v>0</v>
      </c>
      <c r="G1870">
        <v>28</v>
      </c>
      <c r="H1870">
        <v>0.61</v>
      </c>
      <c r="I1870">
        <v>31</v>
      </c>
      <c r="J1870">
        <v>0</v>
      </c>
      <c r="K1870" t="str">
        <f t="shared" si="58"/>
        <v>Middle-Aged</v>
      </c>
      <c r="L1870" t="str">
        <f t="shared" si="59"/>
        <v>Overweight</v>
      </c>
    </row>
    <row r="1871" spans="1:12" x14ac:dyDescent="0.2">
      <c r="A1871">
        <v>1870</v>
      </c>
      <c r="B1871">
        <v>3</v>
      </c>
      <c r="C1871">
        <v>103</v>
      </c>
      <c r="D1871">
        <v>72</v>
      </c>
      <c r="E1871">
        <v>30</v>
      </c>
      <c r="F1871">
        <v>152</v>
      </c>
      <c r="G1871">
        <v>27.6</v>
      </c>
      <c r="H1871">
        <v>0.73</v>
      </c>
      <c r="I1871">
        <v>27</v>
      </c>
      <c r="J1871">
        <v>0</v>
      </c>
      <c r="K1871" t="str">
        <f t="shared" si="58"/>
        <v>Young</v>
      </c>
      <c r="L1871" t="str">
        <f t="shared" si="59"/>
        <v>Overweight</v>
      </c>
    </row>
    <row r="1872" spans="1:12" x14ac:dyDescent="0.2">
      <c r="A1872">
        <v>1871</v>
      </c>
      <c r="B1872">
        <v>2</v>
      </c>
      <c r="C1872">
        <v>157</v>
      </c>
      <c r="D1872">
        <v>74</v>
      </c>
      <c r="E1872">
        <v>35</v>
      </c>
      <c r="F1872">
        <v>440</v>
      </c>
      <c r="G1872">
        <v>39.4</v>
      </c>
      <c r="H1872">
        <v>0.13400000000000001</v>
      </c>
      <c r="I1872">
        <v>30</v>
      </c>
      <c r="J1872">
        <v>0</v>
      </c>
      <c r="K1872" t="str">
        <f t="shared" si="58"/>
        <v>Middle-Aged</v>
      </c>
      <c r="L1872" t="str">
        <f t="shared" si="59"/>
        <v>Obese</v>
      </c>
    </row>
    <row r="1873" spans="1:12" x14ac:dyDescent="0.2">
      <c r="A1873">
        <v>1872</v>
      </c>
      <c r="B1873">
        <v>1</v>
      </c>
      <c r="C1873">
        <v>167</v>
      </c>
      <c r="D1873">
        <v>74</v>
      </c>
      <c r="E1873">
        <v>17</v>
      </c>
      <c r="F1873">
        <v>144</v>
      </c>
      <c r="G1873">
        <v>23.4</v>
      </c>
      <c r="H1873">
        <v>0.44700000000000001</v>
      </c>
      <c r="I1873">
        <v>33</v>
      </c>
      <c r="J1873">
        <v>1</v>
      </c>
      <c r="K1873" t="str">
        <f t="shared" si="58"/>
        <v>Middle-Aged</v>
      </c>
      <c r="L1873" t="str">
        <f t="shared" si="59"/>
        <v>Normal</v>
      </c>
    </row>
    <row r="1874" spans="1:12" x14ac:dyDescent="0.2">
      <c r="A1874">
        <v>1873</v>
      </c>
      <c r="B1874">
        <v>0</v>
      </c>
      <c r="C1874">
        <v>179</v>
      </c>
      <c r="D1874">
        <v>50</v>
      </c>
      <c r="E1874">
        <v>36</v>
      </c>
      <c r="F1874">
        <v>159</v>
      </c>
      <c r="G1874">
        <v>37.799999999999997</v>
      </c>
      <c r="H1874">
        <v>0.45500000000000002</v>
      </c>
      <c r="I1874">
        <v>22</v>
      </c>
      <c r="J1874">
        <v>1</v>
      </c>
      <c r="K1874" t="str">
        <f t="shared" si="58"/>
        <v>Young</v>
      </c>
      <c r="L1874" t="str">
        <f t="shared" si="59"/>
        <v>Obese</v>
      </c>
    </row>
    <row r="1875" spans="1:12" x14ac:dyDescent="0.2">
      <c r="A1875">
        <v>1874</v>
      </c>
      <c r="B1875">
        <v>11</v>
      </c>
      <c r="C1875">
        <v>136</v>
      </c>
      <c r="D1875">
        <v>84</v>
      </c>
      <c r="E1875">
        <v>35</v>
      </c>
      <c r="F1875">
        <v>130</v>
      </c>
      <c r="G1875">
        <v>28.3</v>
      </c>
      <c r="H1875">
        <v>0.26</v>
      </c>
      <c r="I1875">
        <v>42</v>
      </c>
      <c r="J1875">
        <v>1</v>
      </c>
      <c r="K1875" t="str">
        <f t="shared" si="58"/>
        <v>Middle-Aged</v>
      </c>
      <c r="L1875" t="str">
        <f t="shared" si="59"/>
        <v>Overweight</v>
      </c>
    </row>
    <row r="1876" spans="1:12" x14ac:dyDescent="0.2">
      <c r="A1876">
        <v>1875</v>
      </c>
      <c r="B1876">
        <v>0</v>
      </c>
      <c r="C1876">
        <v>107</v>
      </c>
      <c r="D1876">
        <v>60</v>
      </c>
      <c r="E1876">
        <v>25</v>
      </c>
      <c r="F1876">
        <v>0</v>
      </c>
      <c r="G1876">
        <v>26.4</v>
      </c>
      <c r="H1876">
        <v>0.13300000000000001</v>
      </c>
      <c r="I1876">
        <v>23</v>
      </c>
      <c r="J1876">
        <v>0</v>
      </c>
      <c r="K1876" t="str">
        <f t="shared" si="58"/>
        <v>Young</v>
      </c>
      <c r="L1876" t="str">
        <f t="shared" si="59"/>
        <v>Overweight</v>
      </c>
    </row>
    <row r="1877" spans="1:12" x14ac:dyDescent="0.2">
      <c r="A1877">
        <v>1876</v>
      </c>
      <c r="B1877">
        <v>1</v>
      </c>
      <c r="C1877">
        <v>91</v>
      </c>
      <c r="D1877">
        <v>54</v>
      </c>
      <c r="E1877">
        <v>25</v>
      </c>
      <c r="F1877">
        <v>100</v>
      </c>
      <c r="G1877">
        <v>25.2</v>
      </c>
      <c r="H1877">
        <v>0.23400000000000001</v>
      </c>
      <c r="I1877">
        <v>23</v>
      </c>
      <c r="J1877">
        <v>0</v>
      </c>
      <c r="K1877" t="str">
        <f t="shared" si="58"/>
        <v>Young</v>
      </c>
      <c r="L1877" t="str">
        <f t="shared" si="59"/>
        <v>Overweight</v>
      </c>
    </row>
    <row r="1878" spans="1:12" x14ac:dyDescent="0.2">
      <c r="A1878">
        <v>1877</v>
      </c>
      <c r="B1878">
        <v>1</v>
      </c>
      <c r="C1878">
        <v>117</v>
      </c>
      <c r="D1878">
        <v>60</v>
      </c>
      <c r="E1878">
        <v>23</v>
      </c>
      <c r="F1878">
        <v>106</v>
      </c>
      <c r="G1878">
        <v>33.799999999999997</v>
      </c>
      <c r="H1878">
        <v>0.46600000000000003</v>
      </c>
      <c r="I1878">
        <v>27</v>
      </c>
      <c r="J1878">
        <v>0</v>
      </c>
      <c r="K1878" t="str">
        <f t="shared" si="58"/>
        <v>Young</v>
      </c>
      <c r="L1878" t="str">
        <f t="shared" si="59"/>
        <v>Obese</v>
      </c>
    </row>
    <row r="1879" spans="1:12" x14ac:dyDescent="0.2">
      <c r="A1879">
        <v>1878</v>
      </c>
      <c r="B1879">
        <v>5</v>
      </c>
      <c r="C1879">
        <v>123</v>
      </c>
      <c r="D1879">
        <v>74</v>
      </c>
      <c r="E1879">
        <v>40</v>
      </c>
      <c r="F1879">
        <v>77</v>
      </c>
      <c r="G1879">
        <v>34.1</v>
      </c>
      <c r="H1879">
        <v>0.26900000000000002</v>
      </c>
      <c r="I1879">
        <v>28</v>
      </c>
      <c r="J1879">
        <v>0</v>
      </c>
      <c r="K1879" t="str">
        <f t="shared" si="58"/>
        <v>Young</v>
      </c>
      <c r="L1879" t="str">
        <f t="shared" si="59"/>
        <v>Obese</v>
      </c>
    </row>
    <row r="1880" spans="1:12" x14ac:dyDescent="0.2">
      <c r="A1880">
        <v>1879</v>
      </c>
      <c r="B1880">
        <v>2</v>
      </c>
      <c r="C1880">
        <v>120</v>
      </c>
      <c r="D1880">
        <v>54</v>
      </c>
      <c r="E1880">
        <v>0</v>
      </c>
      <c r="F1880">
        <v>0</v>
      </c>
      <c r="G1880">
        <v>26.8</v>
      </c>
      <c r="H1880">
        <v>0.45500000000000002</v>
      </c>
      <c r="I1880">
        <v>27</v>
      </c>
      <c r="J1880">
        <v>0</v>
      </c>
      <c r="K1880" t="str">
        <f t="shared" si="58"/>
        <v>Young</v>
      </c>
      <c r="L1880" t="str">
        <f t="shared" si="59"/>
        <v>Overweight</v>
      </c>
    </row>
    <row r="1881" spans="1:12" x14ac:dyDescent="0.2">
      <c r="A1881">
        <v>1880</v>
      </c>
      <c r="B1881">
        <v>1</v>
      </c>
      <c r="C1881">
        <v>106</v>
      </c>
      <c r="D1881">
        <v>70</v>
      </c>
      <c r="E1881">
        <v>28</v>
      </c>
      <c r="F1881">
        <v>135</v>
      </c>
      <c r="G1881">
        <v>34.200000000000003</v>
      </c>
      <c r="H1881">
        <v>0.14199999999999999</v>
      </c>
      <c r="I1881">
        <v>22</v>
      </c>
      <c r="J1881">
        <v>0</v>
      </c>
      <c r="K1881" t="str">
        <f t="shared" si="58"/>
        <v>Young</v>
      </c>
      <c r="L1881" t="str">
        <f t="shared" si="59"/>
        <v>Obese</v>
      </c>
    </row>
    <row r="1882" spans="1:12" x14ac:dyDescent="0.2">
      <c r="A1882">
        <v>1881</v>
      </c>
      <c r="B1882">
        <v>2</v>
      </c>
      <c r="C1882">
        <v>155</v>
      </c>
      <c r="D1882">
        <v>52</v>
      </c>
      <c r="E1882">
        <v>27</v>
      </c>
      <c r="F1882">
        <v>540</v>
      </c>
      <c r="G1882">
        <v>38.700000000000003</v>
      </c>
      <c r="H1882">
        <v>0.24</v>
      </c>
      <c r="I1882">
        <v>25</v>
      </c>
      <c r="J1882">
        <v>1</v>
      </c>
      <c r="K1882" t="str">
        <f t="shared" si="58"/>
        <v>Young</v>
      </c>
      <c r="L1882" t="str">
        <f t="shared" si="59"/>
        <v>Obese</v>
      </c>
    </row>
    <row r="1883" spans="1:12" x14ac:dyDescent="0.2">
      <c r="A1883">
        <v>1882</v>
      </c>
      <c r="B1883">
        <v>2</v>
      </c>
      <c r="C1883">
        <v>101</v>
      </c>
      <c r="D1883">
        <v>58</v>
      </c>
      <c r="E1883">
        <v>35</v>
      </c>
      <c r="F1883">
        <v>90</v>
      </c>
      <c r="G1883">
        <v>21.8</v>
      </c>
      <c r="H1883">
        <v>0.155</v>
      </c>
      <c r="I1883">
        <v>22</v>
      </c>
      <c r="J1883">
        <v>0</v>
      </c>
      <c r="K1883" t="str">
        <f t="shared" si="58"/>
        <v>Young</v>
      </c>
      <c r="L1883" t="str">
        <f t="shared" si="59"/>
        <v>Normal</v>
      </c>
    </row>
    <row r="1884" spans="1:12" x14ac:dyDescent="0.2">
      <c r="A1884">
        <v>1883</v>
      </c>
      <c r="B1884">
        <v>1</v>
      </c>
      <c r="C1884">
        <v>120</v>
      </c>
      <c r="D1884">
        <v>80</v>
      </c>
      <c r="E1884">
        <v>48</v>
      </c>
      <c r="F1884">
        <v>200</v>
      </c>
      <c r="G1884">
        <v>38.9</v>
      </c>
      <c r="H1884">
        <v>1.1619999999999999</v>
      </c>
      <c r="I1884">
        <v>41</v>
      </c>
      <c r="J1884">
        <v>0</v>
      </c>
      <c r="K1884" t="str">
        <f t="shared" si="58"/>
        <v>Middle-Aged</v>
      </c>
      <c r="L1884" t="str">
        <f t="shared" si="59"/>
        <v>Obese</v>
      </c>
    </row>
    <row r="1885" spans="1:12" x14ac:dyDescent="0.2">
      <c r="A1885">
        <v>1884</v>
      </c>
      <c r="B1885">
        <v>11</v>
      </c>
      <c r="C1885">
        <v>127</v>
      </c>
      <c r="D1885">
        <v>106</v>
      </c>
      <c r="E1885">
        <v>0</v>
      </c>
      <c r="F1885">
        <v>0</v>
      </c>
      <c r="G1885">
        <v>39</v>
      </c>
      <c r="H1885">
        <v>0.19</v>
      </c>
      <c r="I1885">
        <v>51</v>
      </c>
      <c r="J1885">
        <v>0</v>
      </c>
      <c r="K1885" t="str">
        <f t="shared" si="58"/>
        <v>Senior</v>
      </c>
      <c r="L1885" t="str">
        <f t="shared" si="59"/>
        <v>Obese</v>
      </c>
    </row>
    <row r="1886" spans="1:12" x14ac:dyDescent="0.2">
      <c r="A1886">
        <v>1885</v>
      </c>
      <c r="B1886">
        <v>3</v>
      </c>
      <c r="C1886">
        <v>80</v>
      </c>
      <c r="D1886">
        <v>82</v>
      </c>
      <c r="E1886">
        <v>31</v>
      </c>
      <c r="F1886">
        <v>70</v>
      </c>
      <c r="G1886">
        <v>34.200000000000003</v>
      </c>
      <c r="H1886">
        <v>1.292</v>
      </c>
      <c r="I1886">
        <v>27</v>
      </c>
      <c r="J1886">
        <v>1</v>
      </c>
      <c r="K1886" t="str">
        <f t="shared" si="58"/>
        <v>Young</v>
      </c>
      <c r="L1886" t="str">
        <f t="shared" si="59"/>
        <v>Obese</v>
      </c>
    </row>
    <row r="1887" spans="1:12" x14ac:dyDescent="0.2">
      <c r="A1887">
        <v>1886</v>
      </c>
      <c r="B1887">
        <v>10</v>
      </c>
      <c r="C1887">
        <v>162</v>
      </c>
      <c r="D1887">
        <v>84</v>
      </c>
      <c r="E1887">
        <v>0</v>
      </c>
      <c r="F1887">
        <v>0</v>
      </c>
      <c r="G1887">
        <v>27.7</v>
      </c>
      <c r="H1887">
        <v>0.182</v>
      </c>
      <c r="I1887">
        <v>54</v>
      </c>
      <c r="J1887">
        <v>0</v>
      </c>
      <c r="K1887" t="str">
        <f t="shared" si="58"/>
        <v>Senior</v>
      </c>
      <c r="L1887" t="str">
        <f t="shared" si="59"/>
        <v>Overweight</v>
      </c>
    </row>
    <row r="1888" spans="1:12" x14ac:dyDescent="0.2">
      <c r="A1888">
        <v>1887</v>
      </c>
      <c r="B1888">
        <v>1</v>
      </c>
      <c r="C1888">
        <v>199</v>
      </c>
      <c r="D1888">
        <v>76</v>
      </c>
      <c r="E1888">
        <v>43</v>
      </c>
      <c r="F1888">
        <v>0</v>
      </c>
      <c r="G1888">
        <v>42.9</v>
      </c>
      <c r="H1888">
        <v>1.3939999999999999</v>
      </c>
      <c r="I1888">
        <v>22</v>
      </c>
      <c r="J1888">
        <v>1</v>
      </c>
      <c r="K1888" t="str">
        <f t="shared" si="58"/>
        <v>Young</v>
      </c>
      <c r="L1888" t="str">
        <f t="shared" si="59"/>
        <v>Obese</v>
      </c>
    </row>
    <row r="1889" spans="1:12" x14ac:dyDescent="0.2">
      <c r="A1889">
        <v>1888</v>
      </c>
      <c r="B1889">
        <v>8</v>
      </c>
      <c r="C1889">
        <v>167</v>
      </c>
      <c r="D1889">
        <v>106</v>
      </c>
      <c r="E1889">
        <v>46</v>
      </c>
      <c r="F1889">
        <v>231</v>
      </c>
      <c r="G1889">
        <v>37.6</v>
      </c>
      <c r="H1889">
        <v>0.16500000000000001</v>
      </c>
      <c r="I1889">
        <v>43</v>
      </c>
      <c r="J1889">
        <v>1</v>
      </c>
      <c r="K1889" t="str">
        <f t="shared" si="58"/>
        <v>Middle-Aged</v>
      </c>
      <c r="L1889" t="str">
        <f t="shared" si="59"/>
        <v>Obese</v>
      </c>
    </row>
    <row r="1890" spans="1:12" x14ac:dyDescent="0.2">
      <c r="A1890">
        <v>1889</v>
      </c>
      <c r="B1890">
        <v>9</v>
      </c>
      <c r="C1890">
        <v>145</v>
      </c>
      <c r="D1890">
        <v>80</v>
      </c>
      <c r="E1890">
        <v>46</v>
      </c>
      <c r="F1890">
        <v>130</v>
      </c>
      <c r="G1890">
        <v>37.9</v>
      </c>
      <c r="H1890">
        <v>0.63700000000000001</v>
      </c>
      <c r="I1890">
        <v>40</v>
      </c>
      <c r="J1890">
        <v>1</v>
      </c>
      <c r="K1890" t="str">
        <f t="shared" si="58"/>
        <v>Middle-Aged</v>
      </c>
      <c r="L1890" t="str">
        <f t="shared" si="59"/>
        <v>Obese</v>
      </c>
    </row>
    <row r="1891" spans="1:12" x14ac:dyDescent="0.2">
      <c r="A1891">
        <v>1890</v>
      </c>
      <c r="B1891">
        <v>6</v>
      </c>
      <c r="C1891">
        <v>115</v>
      </c>
      <c r="D1891">
        <v>60</v>
      </c>
      <c r="E1891">
        <v>39</v>
      </c>
      <c r="F1891">
        <v>0</v>
      </c>
      <c r="G1891">
        <v>33.700000000000003</v>
      </c>
      <c r="H1891">
        <v>0.245</v>
      </c>
      <c r="I1891">
        <v>40</v>
      </c>
      <c r="J1891">
        <v>1</v>
      </c>
      <c r="K1891" t="str">
        <f t="shared" si="58"/>
        <v>Middle-Aged</v>
      </c>
      <c r="L1891" t="str">
        <f t="shared" si="59"/>
        <v>Obese</v>
      </c>
    </row>
    <row r="1892" spans="1:12" x14ac:dyDescent="0.2">
      <c r="A1892">
        <v>1891</v>
      </c>
      <c r="B1892">
        <v>1</v>
      </c>
      <c r="C1892">
        <v>112</v>
      </c>
      <c r="D1892">
        <v>80</v>
      </c>
      <c r="E1892">
        <v>45</v>
      </c>
      <c r="F1892">
        <v>132</v>
      </c>
      <c r="G1892">
        <v>34.799999999999997</v>
      </c>
      <c r="H1892">
        <v>0.217</v>
      </c>
      <c r="I1892">
        <v>24</v>
      </c>
      <c r="J1892">
        <v>0</v>
      </c>
      <c r="K1892" t="str">
        <f t="shared" si="58"/>
        <v>Young</v>
      </c>
      <c r="L1892" t="str">
        <f t="shared" si="59"/>
        <v>Obese</v>
      </c>
    </row>
    <row r="1893" spans="1:12" x14ac:dyDescent="0.2">
      <c r="A1893">
        <v>1892</v>
      </c>
      <c r="B1893">
        <v>4</v>
      </c>
      <c r="C1893">
        <v>145</v>
      </c>
      <c r="D1893">
        <v>82</v>
      </c>
      <c r="E1893">
        <v>18</v>
      </c>
      <c r="F1893">
        <v>0</v>
      </c>
      <c r="G1893">
        <v>32.5</v>
      </c>
      <c r="H1893">
        <v>0.23499999999999999</v>
      </c>
      <c r="I1893">
        <v>70</v>
      </c>
      <c r="J1893">
        <v>1</v>
      </c>
      <c r="K1893" t="str">
        <f t="shared" si="58"/>
        <v>Senior</v>
      </c>
      <c r="L1893" t="str">
        <f t="shared" si="59"/>
        <v>Obese</v>
      </c>
    </row>
    <row r="1894" spans="1:12" x14ac:dyDescent="0.2">
      <c r="A1894">
        <v>1893</v>
      </c>
      <c r="B1894">
        <v>10</v>
      </c>
      <c r="C1894">
        <v>111</v>
      </c>
      <c r="D1894">
        <v>70</v>
      </c>
      <c r="E1894">
        <v>27</v>
      </c>
      <c r="F1894">
        <v>0</v>
      </c>
      <c r="G1894">
        <v>27.5</v>
      </c>
      <c r="H1894">
        <v>0.14099999999999999</v>
      </c>
      <c r="I1894">
        <v>40</v>
      </c>
      <c r="J1894">
        <v>1</v>
      </c>
      <c r="K1894" t="str">
        <f t="shared" si="58"/>
        <v>Middle-Aged</v>
      </c>
      <c r="L1894" t="str">
        <f t="shared" si="59"/>
        <v>Overweight</v>
      </c>
    </row>
    <row r="1895" spans="1:12" x14ac:dyDescent="0.2">
      <c r="A1895">
        <v>1894</v>
      </c>
      <c r="B1895">
        <v>6</v>
      </c>
      <c r="C1895">
        <v>98</v>
      </c>
      <c r="D1895">
        <v>58</v>
      </c>
      <c r="E1895">
        <v>33</v>
      </c>
      <c r="F1895">
        <v>190</v>
      </c>
      <c r="G1895">
        <v>34</v>
      </c>
      <c r="H1895">
        <v>0.43</v>
      </c>
      <c r="I1895">
        <v>43</v>
      </c>
      <c r="J1895">
        <v>0</v>
      </c>
      <c r="K1895" t="str">
        <f t="shared" si="58"/>
        <v>Middle-Aged</v>
      </c>
      <c r="L1895" t="str">
        <f t="shared" si="59"/>
        <v>Obese</v>
      </c>
    </row>
    <row r="1896" spans="1:12" x14ac:dyDescent="0.2">
      <c r="A1896">
        <v>1895</v>
      </c>
      <c r="B1896">
        <v>9</v>
      </c>
      <c r="C1896">
        <v>154</v>
      </c>
      <c r="D1896">
        <v>78</v>
      </c>
      <c r="E1896">
        <v>30</v>
      </c>
      <c r="F1896">
        <v>100</v>
      </c>
      <c r="G1896">
        <v>30.9</v>
      </c>
      <c r="H1896">
        <v>0.16400000000000001</v>
      </c>
      <c r="I1896">
        <v>45</v>
      </c>
      <c r="J1896">
        <v>0</v>
      </c>
      <c r="K1896" t="str">
        <f t="shared" si="58"/>
        <v>Senior</v>
      </c>
      <c r="L1896" t="str">
        <f t="shared" si="59"/>
        <v>Obese</v>
      </c>
    </row>
    <row r="1897" spans="1:12" x14ac:dyDescent="0.2">
      <c r="A1897">
        <v>1896</v>
      </c>
      <c r="B1897">
        <v>6</v>
      </c>
      <c r="C1897">
        <v>165</v>
      </c>
      <c r="D1897">
        <v>68</v>
      </c>
      <c r="E1897">
        <v>26</v>
      </c>
      <c r="F1897">
        <v>168</v>
      </c>
      <c r="G1897">
        <v>33.6</v>
      </c>
      <c r="H1897">
        <v>0.63100000000000001</v>
      </c>
      <c r="I1897">
        <v>49</v>
      </c>
      <c r="J1897">
        <v>0</v>
      </c>
      <c r="K1897" t="str">
        <f t="shared" si="58"/>
        <v>Senior</v>
      </c>
      <c r="L1897" t="str">
        <f t="shared" si="59"/>
        <v>Obese</v>
      </c>
    </row>
    <row r="1898" spans="1:12" x14ac:dyDescent="0.2">
      <c r="A1898">
        <v>1897</v>
      </c>
      <c r="B1898">
        <v>1</v>
      </c>
      <c r="C1898">
        <v>99</v>
      </c>
      <c r="D1898">
        <v>58</v>
      </c>
      <c r="E1898">
        <v>10</v>
      </c>
      <c r="F1898">
        <v>0</v>
      </c>
      <c r="G1898">
        <v>25.4</v>
      </c>
      <c r="H1898">
        <v>0.55100000000000005</v>
      </c>
      <c r="I1898">
        <v>21</v>
      </c>
      <c r="J1898">
        <v>0</v>
      </c>
      <c r="K1898" t="str">
        <f t="shared" si="58"/>
        <v>Young</v>
      </c>
      <c r="L1898" t="str">
        <f t="shared" si="59"/>
        <v>Overweight</v>
      </c>
    </row>
    <row r="1899" spans="1:12" x14ac:dyDescent="0.2">
      <c r="A1899">
        <v>1898</v>
      </c>
      <c r="B1899">
        <v>10</v>
      </c>
      <c r="C1899">
        <v>68</v>
      </c>
      <c r="D1899">
        <v>106</v>
      </c>
      <c r="E1899">
        <v>23</v>
      </c>
      <c r="F1899">
        <v>49</v>
      </c>
      <c r="G1899">
        <v>35.5</v>
      </c>
      <c r="H1899">
        <v>0.28499999999999998</v>
      </c>
      <c r="I1899">
        <v>47</v>
      </c>
      <c r="J1899">
        <v>0</v>
      </c>
      <c r="K1899" t="str">
        <f t="shared" si="58"/>
        <v>Senior</v>
      </c>
      <c r="L1899" t="str">
        <f t="shared" si="59"/>
        <v>Obese</v>
      </c>
    </row>
    <row r="1900" spans="1:12" x14ac:dyDescent="0.2">
      <c r="A1900">
        <v>1899</v>
      </c>
      <c r="B1900">
        <v>3</v>
      </c>
      <c r="C1900">
        <v>123</v>
      </c>
      <c r="D1900">
        <v>100</v>
      </c>
      <c r="E1900">
        <v>35</v>
      </c>
      <c r="F1900">
        <v>240</v>
      </c>
      <c r="G1900">
        <v>57.3</v>
      </c>
      <c r="H1900">
        <v>0.88</v>
      </c>
      <c r="I1900">
        <v>22</v>
      </c>
      <c r="J1900">
        <v>0</v>
      </c>
      <c r="K1900" t="str">
        <f t="shared" si="58"/>
        <v>Young</v>
      </c>
      <c r="L1900" t="str">
        <f t="shared" si="59"/>
        <v>Obese</v>
      </c>
    </row>
    <row r="1901" spans="1:12" x14ac:dyDescent="0.2">
      <c r="A1901">
        <v>1900</v>
      </c>
      <c r="B1901">
        <v>8</v>
      </c>
      <c r="C1901">
        <v>91</v>
      </c>
      <c r="D1901">
        <v>82</v>
      </c>
      <c r="E1901">
        <v>0</v>
      </c>
      <c r="F1901">
        <v>0</v>
      </c>
      <c r="G1901">
        <v>35.6</v>
      </c>
      <c r="H1901">
        <v>0.58699999999999997</v>
      </c>
      <c r="I1901">
        <v>68</v>
      </c>
      <c r="J1901">
        <v>0</v>
      </c>
      <c r="K1901" t="str">
        <f t="shared" si="58"/>
        <v>Senior</v>
      </c>
      <c r="L1901" t="str">
        <f t="shared" si="59"/>
        <v>Obese</v>
      </c>
    </row>
    <row r="1902" spans="1:12" x14ac:dyDescent="0.2">
      <c r="A1902">
        <v>1901</v>
      </c>
      <c r="B1902">
        <v>6</v>
      </c>
      <c r="C1902">
        <v>195</v>
      </c>
      <c r="D1902">
        <v>70</v>
      </c>
      <c r="E1902">
        <v>0</v>
      </c>
      <c r="F1902">
        <v>0</v>
      </c>
      <c r="G1902">
        <v>30.9</v>
      </c>
      <c r="H1902">
        <v>0.32800000000000001</v>
      </c>
      <c r="I1902">
        <v>31</v>
      </c>
      <c r="J1902">
        <v>1</v>
      </c>
      <c r="K1902" t="str">
        <f t="shared" si="58"/>
        <v>Middle-Aged</v>
      </c>
      <c r="L1902" t="str">
        <f t="shared" si="59"/>
        <v>Obese</v>
      </c>
    </row>
    <row r="1903" spans="1:12" x14ac:dyDescent="0.2">
      <c r="A1903">
        <v>1902</v>
      </c>
      <c r="B1903">
        <v>9</v>
      </c>
      <c r="C1903">
        <v>156</v>
      </c>
      <c r="D1903">
        <v>86</v>
      </c>
      <c r="E1903">
        <v>0</v>
      </c>
      <c r="F1903">
        <v>0</v>
      </c>
      <c r="G1903">
        <v>24.8</v>
      </c>
      <c r="H1903">
        <v>0.23</v>
      </c>
      <c r="I1903">
        <v>53</v>
      </c>
      <c r="J1903">
        <v>1</v>
      </c>
      <c r="K1903" t="str">
        <f t="shared" si="58"/>
        <v>Senior</v>
      </c>
      <c r="L1903" t="str">
        <f t="shared" si="59"/>
        <v>Normal</v>
      </c>
    </row>
    <row r="1904" spans="1:12" x14ac:dyDescent="0.2">
      <c r="A1904">
        <v>1903</v>
      </c>
      <c r="B1904">
        <v>0</v>
      </c>
      <c r="C1904">
        <v>93</v>
      </c>
      <c r="D1904">
        <v>60</v>
      </c>
      <c r="E1904">
        <v>0</v>
      </c>
      <c r="F1904">
        <v>0</v>
      </c>
      <c r="G1904">
        <v>35.299999999999997</v>
      </c>
      <c r="H1904">
        <v>0.26300000000000001</v>
      </c>
      <c r="I1904">
        <v>25</v>
      </c>
      <c r="J1904">
        <v>0</v>
      </c>
      <c r="K1904" t="str">
        <f t="shared" si="58"/>
        <v>Young</v>
      </c>
      <c r="L1904" t="str">
        <f t="shared" si="59"/>
        <v>Obese</v>
      </c>
    </row>
    <row r="1905" spans="1:12" x14ac:dyDescent="0.2">
      <c r="A1905">
        <v>1904</v>
      </c>
      <c r="B1905">
        <v>3</v>
      </c>
      <c r="C1905">
        <v>121</v>
      </c>
      <c r="D1905">
        <v>52</v>
      </c>
      <c r="E1905">
        <v>0</v>
      </c>
      <c r="F1905">
        <v>0</v>
      </c>
      <c r="G1905">
        <v>36</v>
      </c>
      <c r="H1905">
        <v>0.127</v>
      </c>
      <c r="I1905">
        <v>25</v>
      </c>
      <c r="J1905">
        <v>1</v>
      </c>
      <c r="K1905" t="str">
        <f t="shared" si="58"/>
        <v>Young</v>
      </c>
      <c r="L1905" t="str">
        <f t="shared" si="59"/>
        <v>Obese</v>
      </c>
    </row>
    <row r="1906" spans="1:12" x14ac:dyDescent="0.2">
      <c r="A1906">
        <v>1905</v>
      </c>
      <c r="B1906">
        <v>2</v>
      </c>
      <c r="C1906">
        <v>101</v>
      </c>
      <c r="D1906">
        <v>58</v>
      </c>
      <c r="E1906">
        <v>17</v>
      </c>
      <c r="F1906">
        <v>265</v>
      </c>
      <c r="G1906">
        <v>24.2</v>
      </c>
      <c r="H1906">
        <v>0.61399999999999999</v>
      </c>
      <c r="I1906">
        <v>23</v>
      </c>
      <c r="J1906">
        <v>0</v>
      </c>
      <c r="K1906" t="str">
        <f t="shared" si="58"/>
        <v>Young</v>
      </c>
      <c r="L1906" t="str">
        <f t="shared" si="59"/>
        <v>Normal</v>
      </c>
    </row>
    <row r="1907" spans="1:12" x14ac:dyDescent="0.2">
      <c r="A1907">
        <v>1906</v>
      </c>
      <c r="B1907">
        <v>2</v>
      </c>
      <c r="C1907">
        <v>56</v>
      </c>
      <c r="D1907">
        <v>56</v>
      </c>
      <c r="E1907">
        <v>28</v>
      </c>
      <c r="F1907">
        <v>45</v>
      </c>
      <c r="G1907">
        <v>24.2</v>
      </c>
      <c r="H1907">
        <v>0.33200000000000002</v>
      </c>
      <c r="I1907">
        <v>22</v>
      </c>
      <c r="J1907">
        <v>0</v>
      </c>
      <c r="K1907" t="str">
        <f t="shared" si="58"/>
        <v>Young</v>
      </c>
      <c r="L1907" t="str">
        <f t="shared" si="59"/>
        <v>Normal</v>
      </c>
    </row>
    <row r="1908" spans="1:12" x14ac:dyDescent="0.2">
      <c r="A1908">
        <v>1907</v>
      </c>
      <c r="B1908">
        <v>0</v>
      </c>
      <c r="C1908">
        <v>162</v>
      </c>
      <c r="D1908">
        <v>76</v>
      </c>
      <c r="E1908">
        <v>36</v>
      </c>
      <c r="F1908">
        <v>0</v>
      </c>
      <c r="G1908">
        <v>49.6</v>
      </c>
      <c r="H1908">
        <v>0.36399999999999999</v>
      </c>
      <c r="I1908">
        <v>26</v>
      </c>
      <c r="J1908">
        <v>1</v>
      </c>
      <c r="K1908" t="str">
        <f t="shared" si="58"/>
        <v>Young</v>
      </c>
      <c r="L1908" t="str">
        <f t="shared" si="59"/>
        <v>Obese</v>
      </c>
    </row>
    <row r="1909" spans="1:12" x14ac:dyDescent="0.2">
      <c r="A1909">
        <v>1908</v>
      </c>
      <c r="B1909">
        <v>0</v>
      </c>
      <c r="C1909">
        <v>95</v>
      </c>
      <c r="D1909">
        <v>64</v>
      </c>
      <c r="E1909">
        <v>39</v>
      </c>
      <c r="F1909">
        <v>105</v>
      </c>
      <c r="G1909">
        <v>44.6</v>
      </c>
      <c r="H1909">
        <v>0.36599999999999999</v>
      </c>
      <c r="I1909">
        <v>22</v>
      </c>
      <c r="J1909">
        <v>0</v>
      </c>
      <c r="K1909" t="str">
        <f t="shared" si="58"/>
        <v>Young</v>
      </c>
      <c r="L1909" t="str">
        <f t="shared" si="59"/>
        <v>Obese</v>
      </c>
    </row>
    <row r="1910" spans="1:12" x14ac:dyDescent="0.2">
      <c r="A1910">
        <v>1909</v>
      </c>
      <c r="B1910">
        <v>4</v>
      </c>
      <c r="C1910">
        <v>125</v>
      </c>
      <c r="D1910">
        <v>80</v>
      </c>
      <c r="E1910">
        <v>0</v>
      </c>
      <c r="F1910">
        <v>0</v>
      </c>
      <c r="G1910">
        <v>32.299999999999997</v>
      </c>
      <c r="H1910">
        <v>0.53600000000000003</v>
      </c>
      <c r="I1910">
        <v>27</v>
      </c>
      <c r="J1910">
        <v>1</v>
      </c>
      <c r="K1910" t="str">
        <f t="shared" si="58"/>
        <v>Young</v>
      </c>
      <c r="L1910" t="str">
        <f t="shared" si="59"/>
        <v>Obese</v>
      </c>
    </row>
    <row r="1911" spans="1:12" x14ac:dyDescent="0.2">
      <c r="A1911">
        <v>1910</v>
      </c>
      <c r="B1911">
        <v>5</v>
      </c>
      <c r="C1911">
        <v>136</v>
      </c>
      <c r="D1911">
        <v>82</v>
      </c>
      <c r="E1911">
        <v>0</v>
      </c>
      <c r="F1911">
        <v>0</v>
      </c>
      <c r="G1911">
        <v>121</v>
      </c>
      <c r="H1911">
        <v>0.64</v>
      </c>
      <c r="I1911">
        <v>69</v>
      </c>
      <c r="J1911">
        <v>0</v>
      </c>
      <c r="K1911" t="str">
        <f t="shared" si="58"/>
        <v>Senior</v>
      </c>
      <c r="L1911" t="str">
        <f t="shared" si="59"/>
        <v>Obese</v>
      </c>
    </row>
    <row r="1912" spans="1:12" x14ac:dyDescent="0.2">
      <c r="A1912">
        <v>1911</v>
      </c>
      <c r="B1912">
        <v>2</v>
      </c>
      <c r="C1912">
        <v>129</v>
      </c>
      <c r="D1912">
        <v>74</v>
      </c>
      <c r="E1912">
        <v>26</v>
      </c>
      <c r="F1912">
        <v>205</v>
      </c>
      <c r="G1912">
        <v>33.200000000000003</v>
      </c>
      <c r="H1912">
        <v>0.59099999999999997</v>
      </c>
      <c r="I1912">
        <v>25</v>
      </c>
      <c r="J1912">
        <v>0</v>
      </c>
      <c r="K1912" t="str">
        <f t="shared" si="58"/>
        <v>Young</v>
      </c>
      <c r="L1912" t="str">
        <f t="shared" si="59"/>
        <v>Obese</v>
      </c>
    </row>
    <row r="1913" spans="1:12" x14ac:dyDescent="0.2">
      <c r="A1913">
        <v>1912</v>
      </c>
      <c r="B1913">
        <v>3</v>
      </c>
      <c r="C1913">
        <v>130</v>
      </c>
      <c r="D1913">
        <v>64</v>
      </c>
      <c r="E1913">
        <v>0</v>
      </c>
      <c r="F1913">
        <v>0</v>
      </c>
      <c r="G1913">
        <v>23.1</v>
      </c>
      <c r="H1913">
        <v>0.314</v>
      </c>
      <c r="I1913">
        <v>22</v>
      </c>
      <c r="J1913">
        <v>0</v>
      </c>
      <c r="K1913" t="str">
        <f t="shared" si="58"/>
        <v>Young</v>
      </c>
      <c r="L1913" t="str">
        <f t="shared" si="59"/>
        <v>Normal</v>
      </c>
    </row>
    <row r="1914" spans="1:12" x14ac:dyDescent="0.2">
      <c r="A1914">
        <v>1913</v>
      </c>
      <c r="B1914">
        <v>1</v>
      </c>
      <c r="C1914">
        <v>107</v>
      </c>
      <c r="D1914">
        <v>50</v>
      </c>
      <c r="E1914">
        <v>19</v>
      </c>
      <c r="F1914">
        <v>0</v>
      </c>
      <c r="G1914">
        <v>28.3</v>
      </c>
      <c r="H1914">
        <v>0.18099999999999999</v>
      </c>
      <c r="I1914">
        <v>29</v>
      </c>
      <c r="J1914">
        <v>0</v>
      </c>
      <c r="K1914" t="str">
        <f t="shared" si="58"/>
        <v>Young</v>
      </c>
      <c r="L1914" t="str">
        <f t="shared" si="59"/>
        <v>Overweight</v>
      </c>
    </row>
    <row r="1915" spans="1:12" x14ac:dyDescent="0.2">
      <c r="A1915">
        <v>1914</v>
      </c>
      <c r="B1915">
        <v>1</v>
      </c>
      <c r="C1915">
        <v>140</v>
      </c>
      <c r="D1915">
        <v>74</v>
      </c>
      <c r="E1915">
        <v>26</v>
      </c>
      <c r="F1915">
        <v>180</v>
      </c>
      <c r="G1915">
        <v>24.1</v>
      </c>
      <c r="H1915">
        <v>0.82799999999999996</v>
      </c>
      <c r="I1915">
        <v>23</v>
      </c>
      <c r="J1915">
        <v>0</v>
      </c>
      <c r="K1915" t="str">
        <f t="shared" si="58"/>
        <v>Young</v>
      </c>
      <c r="L1915" t="str">
        <f t="shared" si="59"/>
        <v>Normal</v>
      </c>
    </row>
    <row r="1916" spans="1:12" x14ac:dyDescent="0.2">
      <c r="A1916">
        <v>1915</v>
      </c>
      <c r="B1916">
        <v>1</v>
      </c>
      <c r="C1916">
        <v>144</v>
      </c>
      <c r="D1916">
        <v>82</v>
      </c>
      <c r="E1916">
        <v>46</v>
      </c>
      <c r="F1916">
        <v>180</v>
      </c>
      <c r="G1916">
        <v>46.1</v>
      </c>
      <c r="H1916">
        <v>0.33500000000000002</v>
      </c>
      <c r="I1916">
        <v>46</v>
      </c>
      <c r="J1916">
        <v>1</v>
      </c>
      <c r="K1916" t="str">
        <f t="shared" si="58"/>
        <v>Senior</v>
      </c>
      <c r="L1916" t="str">
        <f t="shared" si="59"/>
        <v>Obese</v>
      </c>
    </row>
    <row r="1917" spans="1:12" x14ac:dyDescent="0.2">
      <c r="A1917">
        <v>1916</v>
      </c>
      <c r="B1917">
        <v>8</v>
      </c>
      <c r="C1917">
        <v>107</v>
      </c>
      <c r="D1917">
        <v>80</v>
      </c>
      <c r="E1917">
        <v>0</v>
      </c>
      <c r="F1917">
        <v>0</v>
      </c>
      <c r="G1917">
        <v>24.6</v>
      </c>
      <c r="H1917">
        <v>0.85599999999999998</v>
      </c>
      <c r="I1917">
        <v>34</v>
      </c>
      <c r="J1917">
        <v>0</v>
      </c>
      <c r="K1917" t="str">
        <f t="shared" si="58"/>
        <v>Middle-Aged</v>
      </c>
      <c r="L1917" t="str">
        <f t="shared" si="59"/>
        <v>Normal</v>
      </c>
    </row>
    <row r="1918" spans="1:12" x14ac:dyDescent="0.2">
      <c r="A1918">
        <v>1917</v>
      </c>
      <c r="B1918">
        <v>13</v>
      </c>
      <c r="C1918">
        <v>158</v>
      </c>
      <c r="D1918">
        <v>114</v>
      </c>
      <c r="E1918">
        <v>0</v>
      </c>
      <c r="F1918">
        <v>0</v>
      </c>
      <c r="G1918">
        <v>42.3</v>
      </c>
      <c r="H1918">
        <v>0.25700000000000001</v>
      </c>
      <c r="I1918">
        <v>44</v>
      </c>
      <c r="J1918">
        <v>1</v>
      </c>
      <c r="K1918" t="str">
        <f t="shared" si="58"/>
        <v>Middle-Aged</v>
      </c>
      <c r="L1918" t="str">
        <f t="shared" si="59"/>
        <v>Obese</v>
      </c>
    </row>
    <row r="1919" spans="1:12" x14ac:dyDescent="0.2">
      <c r="A1919">
        <v>1918</v>
      </c>
      <c r="B1919">
        <v>2</v>
      </c>
      <c r="C1919">
        <v>121</v>
      </c>
      <c r="D1919">
        <v>70</v>
      </c>
      <c r="E1919">
        <v>32</v>
      </c>
      <c r="F1919">
        <v>95</v>
      </c>
      <c r="G1919">
        <v>39.1</v>
      </c>
      <c r="H1919">
        <v>0.88600000000000001</v>
      </c>
      <c r="I1919">
        <v>23</v>
      </c>
      <c r="J1919">
        <v>0</v>
      </c>
      <c r="K1919" t="str">
        <f t="shared" si="58"/>
        <v>Young</v>
      </c>
      <c r="L1919" t="str">
        <f t="shared" si="59"/>
        <v>Obese</v>
      </c>
    </row>
    <row r="1920" spans="1:12" x14ac:dyDescent="0.2">
      <c r="A1920">
        <v>1919</v>
      </c>
      <c r="B1920">
        <v>7</v>
      </c>
      <c r="C1920">
        <v>129</v>
      </c>
      <c r="D1920">
        <v>68</v>
      </c>
      <c r="E1920">
        <v>49</v>
      </c>
      <c r="F1920">
        <v>125</v>
      </c>
      <c r="G1920">
        <v>38.5</v>
      </c>
      <c r="H1920">
        <v>0.439</v>
      </c>
      <c r="I1920">
        <v>43</v>
      </c>
      <c r="J1920">
        <v>1</v>
      </c>
      <c r="K1920" t="str">
        <f t="shared" si="58"/>
        <v>Middle-Aged</v>
      </c>
      <c r="L1920" t="str">
        <f t="shared" si="59"/>
        <v>Obese</v>
      </c>
    </row>
    <row r="1921" spans="1:12" x14ac:dyDescent="0.2">
      <c r="A1921">
        <v>1920</v>
      </c>
      <c r="B1921">
        <v>2</v>
      </c>
      <c r="C1921">
        <v>90</v>
      </c>
      <c r="D1921">
        <v>60</v>
      </c>
      <c r="E1921">
        <v>0</v>
      </c>
      <c r="F1921">
        <v>0</v>
      </c>
      <c r="G1921">
        <v>23.5</v>
      </c>
      <c r="H1921">
        <v>0.191</v>
      </c>
      <c r="I1921">
        <v>25</v>
      </c>
      <c r="J1921">
        <v>0</v>
      </c>
      <c r="K1921" t="str">
        <f t="shared" si="58"/>
        <v>Young</v>
      </c>
      <c r="L1921" t="str">
        <f t="shared" si="59"/>
        <v>Normal</v>
      </c>
    </row>
    <row r="1922" spans="1:12" x14ac:dyDescent="0.2">
      <c r="A1922">
        <v>1921</v>
      </c>
      <c r="B1922">
        <v>7</v>
      </c>
      <c r="C1922">
        <v>142</v>
      </c>
      <c r="D1922">
        <v>90</v>
      </c>
      <c r="E1922">
        <v>24</v>
      </c>
      <c r="F1922">
        <v>480</v>
      </c>
      <c r="G1922">
        <v>30.4</v>
      </c>
      <c r="H1922">
        <v>0.128</v>
      </c>
      <c r="I1922">
        <v>43</v>
      </c>
      <c r="J1922">
        <v>1</v>
      </c>
      <c r="K1922" t="str">
        <f t="shared" si="58"/>
        <v>Middle-Aged</v>
      </c>
      <c r="L1922" t="str">
        <f t="shared" si="59"/>
        <v>Obese</v>
      </c>
    </row>
    <row r="1923" spans="1:12" x14ac:dyDescent="0.2">
      <c r="A1923">
        <v>1922</v>
      </c>
      <c r="B1923">
        <v>3</v>
      </c>
      <c r="C1923">
        <v>169</v>
      </c>
      <c r="D1923">
        <v>74</v>
      </c>
      <c r="E1923">
        <v>19</v>
      </c>
      <c r="F1923">
        <v>125</v>
      </c>
      <c r="G1923">
        <v>29.9</v>
      </c>
      <c r="H1923">
        <v>0.26800000000000002</v>
      </c>
      <c r="I1923">
        <v>31</v>
      </c>
      <c r="J1923">
        <v>1</v>
      </c>
      <c r="K1923" t="str">
        <f t="shared" ref="K1923:K1986" si="60">IF(I1923&lt;30, "Young", IF( I1923&lt;45, "Middle-Aged", "Senior"))</f>
        <v>Middle-Aged</v>
      </c>
      <c r="L1923" t="str">
        <f t="shared" ref="L1923:L1986" si="61">IF(G1923&lt;18.5, "Underweight", IF(G1923&lt;25, "Normal", IF(G1923&lt;30, "Overweight", "Obese")))</f>
        <v>Overweight</v>
      </c>
    </row>
    <row r="1924" spans="1:12" x14ac:dyDescent="0.2">
      <c r="A1924">
        <v>1923</v>
      </c>
      <c r="B1924">
        <v>0</v>
      </c>
      <c r="C1924">
        <v>99</v>
      </c>
      <c r="D1924">
        <v>121</v>
      </c>
      <c r="E1924">
        <v>0</v>
      </c>
      <c r="F1924">
        <v>0</v>
      </c>
      <c r="G1924">
        <v>25</v>
      </c>
      <c r="H1924">
        <v>0.253</v>
      </c>
      <c r="I1924">
        <v>22</v>
      </c>
      <c r="J1924">
        <v>0</v>
      </c>
      <c r="K1924" t="str">
        <f t="shared" si="60"/>
        <v>Young</v>
      </c>
      <c r="L1924" t="str">
        <f t="shared" si="61"/>
        <v>Overweight</v>
      </c>
    </row>
    <row r="1925" spans="1:12" x14ac:dyDescent="0.2">
      <c r="A1925">
        <v>1924</v>
      </c>
      <c r="B1925">
        <v>4</v>
      </c>
      <c r="C1925">
        <v>127</v>
      </c>
      <c r="D1925">
        <v>88</v>
      </c>
      <c r="E1925">
        <v>11</v>
      </c>
      <c r="F1925">
        <v>155</v>
      </c>
      <c r="G1925">
        <v>34.5</v>
      </c>
      <c r="H1925">
        <v>0.59799999999999998</v>
      </c>
      <c r="I1925">
        <v>28</v>
      </c>
      <c r="J1925">
        <v>0</v>
      </c>
      <c r="K1925" t="str">
        <f t="shared" si="60"/>
        <v>Young</v>
      </c>
      <c r="L1925" t="str">
        <f t="shared" si="61"/>
        <v>Obese</v>
      </c>
    </row>
    <row r="1926" spans="1:12" x14ac:dyDescent="0.2">
      <c r="A1926">
        <v>1925</v>
      </c>
      <c r="B1926">
        <v>4</v>
      </c>
      <c r="C1926">
        <v>118</v>
      </c>
      <c r="D1926">
        <v>70</v>
      </c>
      <c r="E1926">
        <v>0</v>
      </c>
      <c r="F1926">
        <v>0</v>
      </c>
      <c r="G1926">
        <v>44.5</v>
      </c>
      <c r="H1926">
        <v>0.90400000000000003</v>
      </c>
      <c r="I1926">
        <v>26</v>
      </c>
      <c r="J1926">
        <v>0</v>
      </c>
      <c r="K1926" t="str">
        <f t="shared" si="60"/>
        <v>Young</v>
      </c>
      <c r="L1926" t="str">
        <f t="shared" si="61"/>
        <v>Obese</v>
      </c>
    </row>
    <row r="1927" spans="1:12" x14ac:dyDescent="0.2">
      <c r="A1927">
        <v>1926</v>
      </c>
      <c r="B1927">
        <v>2</v>
      </c>
      <c r="C1927">
        <v>122</v>
      </c>
      <c r="D1927">
        <v>76</v>
      </c>
      <c r="E1927">
        <v>27</v>
      </c>
      <c r="F1927">
        <v>200</v>
      </c>
      <c r="G1927">
        <v>35.9</v>
      </c>
      <c r="H1927">
        <v>0.48299999999999998</v>
      </c>
      <c r="I1927">
        <v>26</v>
      </c>
      <c r="J1927">
        <v>0</v>
      </c>
      <c r="K1927" t="str">
        <f t="shared" si="60"/>
        <v>Young</v>
      </c>
      <c r="L1927" t="str">
        <f t="shared" si="61"/>
        <v>Obese</v>
      </c>
    </row>
    <row r="1928" spans="1:12" x14ac:dyDescent="0.2">
      <c r="A1928">
        <v>1927</v>
      </c>
      <c r="B1928">
        <v>6</v>
      </c>
      <c r="C1928">
        <v>125</v>
      </c>
      <c r="D1928">
        <v>78</v>
      </c>
      <c r="E1928">
        <v>31</v>
      </c>
      <c r="F1928">
        <v>0</v>
      </c>
      <c r="G1928">
        <v>27.6</v>
      </c>
      <c r="H1928">
        <v>0.56499999999999995</v>
      </c>
      <c r="I1928">
        <v>49</v>
      </c>
      <c r="J1928">
        <v>1</v>
      </c>
      <c r="K1928" t="str">
        <f t="shared" si="60"/>
        <v>Senior</v>
      </c>
      <c r="L1928" t="str">
        <f t="shared" si="61"/>
        <v>Overweight</v>
      </c>
    </row>
    <row r="1929" spans="1:12" x14ac:dyDescent="0.2">
      <c r="A1929">
        <v>1928</v>
      </c>
      <c r="B1929">
        <v>1</v>
      </c>
      <c r="C1929">
        <v>168</v>
      </c>
      <c r="D1929">
        <v>88</v>
      </c>
      <c r="E1929">
        <v>29</v>
      </c>
      <c r="F1929">
        <v>0</v>
      </c>
      <c r="G1929">
        <v>35</v>
      </c>
      <c r="H1929">
        <v>0.90500000000000003</v>
      </c>
      <c r="I1929">
        <v>52</v>
      </c>
      <c r="J1929">
        <v>1</v>
      </c>
      <c r="K1929" t="str">
        <f t="shared" si="60"/>
        <v>Senior</v>
      </c>
      <c r="L1929" t="str">
        <f t="shared" si="61"/>
        <v>Obese</v>
      </c>
    </row>
    <row r="1930" spans="1:12" x14ac:dyDescent="0.2">
      <c r="A1930">
        <v>1929</v>
      </c>
      <c r="B1930">
        <v>2</v>
      </c>
      <c r="C1930">
        <v>129</v>
      </c>
      <c r="D1930">
        <v>121</v>
      </c>
      <c r="E1930">
        <v>0</v>
      </c>
      <c r="F1930">
        <v>0</v>
      </c>
      <c r="G1930">
        <v>38.5</v>
      </c>
      <c r="H1930">
        <v>0.30399999999999999</v>
      </c>
      <c r="I1930">
        <v>41</v>
      </c>
      <c r="J1930">
        <v>0</v>
      </c>
      <c r="K1930" t="str">
        <f t="shared" si="60"/>
        <v>Middle-Aged</v>
      </c>
      <c r="L1930" t="str">
        <f t="shared" si="61"/>
        <v>Obese</v>
      </c>
    </row>
    <row r="1931" spans="1:12" x14ac:dyDescent="0.2">
      <c r="A1931">
        <v>1930</v>
      </c>
      <c r="B1931">
        <v>4</v>
      </c>
      <c r="C1931">
        <v>110</v>
      </c>
      <c r="D1931">
        <v>76</v>
      </c>
      <c r="E1931">
        <v>20</v>
      </c>
      <c r="F1931">
        <v>100</v>
      </c>
      <c r="G1931">
        <v>28.4</v>
      </c>
      <c r="H1931">
        <v>0.11799999999999999</v>
      </c>
      <c r="I1931">
        <v>27</v>
      </c>
      <c r="J1931">
        <v>0</v>
      </c>
      <c r="K1931" t="str">
        <f t="shared" si="60"/>
        <v>Young</v>
      </c>
      <c r="L1931" t="str">
        <f t="shared" si="61"/>
        <v>Overweight</v>
      </c>
    </row>
    <row r="1932" spans="1:12" x14ac:dyDescent="0.2">
      <c r="A1932">
        <v>1931</v>
      </c>
      <c r="B1932">
        <v>6</v>
      </c>
      <c r="C1932">
        <v>80</v>
      </c>
      <c r="D1932">
        <v>80</v>
      </c>
      <c r="E1932">
        <v>36</v>
      </c>
      <c r="F1932">
        <v>0</v>
      </c>
      <c r="G1932">
        <v>39.799999999999997</v>
      </c>
      <c r="H1932">
        <v>0.17699999999999999</v>
      </c>
      <c r="I1932">
        <v>28</v>
      </c>
      <c r="J1932">
        <v>0</v>
      </c>
      <c r="K1932" t="str">
        <f t="shared" si="60"/>
        <v>Young</v>
      </c>
      <c r="L1932" t="str">
        <f t="shared" si="61"/>
        <v>Obese</v>
      </c>
    </row>
    <row r="1933" spans="1:12" x14ac:dyDescent="0.2">
      <c r="A1933">
        <v>1932</v>
      </c>
      <c r="B1933">
        <v>10</v>
      </c>
      <c r="C1933">
        <v>115</v>
      </c>
      <c r="D1933">
        <v>121</v>
      </c>
      <c r="E1933">
        <v>0</v>
      </c>
      <c r="F1933">
        <v>0</v>
      </c>
      <c r="G1933">
        <v>121</v>
      </c>
      <c r="H1933">
        <v>0.26100000000000001</v>
      </c>
      <c r="I1933">
        <v>30</v>
      </c>
      <c r="J1933">
        <v>1</v>
      </c>
      <c r="K1933" t="str">
        <f t="shared" si="60"/>
        <v>Middle-Aged</v>
      </c>
      <c r="L1933" t="str">
        <f t="shared" si="61"/>
        <v>Obese</v>
      </c>
    </row>
    <row r="1934" spans="1:12" x14ac:dyDescent="0.2">
      <c r="A1934">
        <v>1933</v>
      </c>
      <c r="B1934">
        <v>2</v>
      </c>
      <c r="C1934">
        <v>127</v>
      </c>
      <c r="D1934">
        <v>46</v>
      </c>
      <c r="E1934">
        <v>21</v>
      </c>
      <c r="F1934">
        <v>335</v>
      </c>
      <c r="G1934">
        <v>34.4</v>
      </c>
      <c r="H1934">
        <v>0.17599999999999999</v>
      </c>
      <c r="I1934">
        <v>22</v>
      </c>
      <c r="J1934">
        <v>0</v>
      </c>
      <c r="K1934" t="str">
        <f t="shared" si="60"/>
        <v>Young</v>
      </c>
      <c r="L1934" t="str">
        <f t="shared" si="61"/>
        <v>Obese</v>
      </c>
    </row>
    <row r="1935" spans="1:12" x14ac:dyDescent="0.2">
      <c r="A1935">
        <v>1934</v>
      </c>
      <c r="B1935">
        <v>9</v>
      </c>
      <c r="C1935">
        <v>164</v>
      </c>
      <c r="D1935">
        <v>78</v>
      </c>
      <c r="E1935">
        <v>0</v>
      </c>
      <c r="F1935">
        <v>0</v>
      </c>
      <c r="G1935">
        <v>32.799999999999997</v>
      </c>
      <c r="H1935">
        <v>0.14799999999999999</v>
      </c>
      <c r="I1935">
        <v>45</v>
      </c>
      <c r="J1935">
        <v>1</v>
      </c>
      <c r="K1935" t="str">
        <f t="shared" si="60"/>
        <v>Senior</v>
      </c>
      <c r="L1935" t="str">
        <f t="shared" si="61"/>
        <v>Obese</v>
      </c>
    </row>
    <row r="1936" spans="1:12" x14ac:dyDescent="0.2">
      <c r="A1936">
        <v>1935</v>
      </c>
      <c r="B1936">
        <v>2</v>
      </c>
      <c r="C1936">
        <v>93</v>
      </c>
      <c r="D1936">
        <v>64</v>
      </c>
      <c r="E1936">
        <v>32</v>
      </c>
      <c r="F1936">
        <v>160</v>
      </c>
      <c r="G1936">
        <v>38</v>
      </c>
      <c r="H1936">
        <v>0.67400000000000004</v>
      </c>
      <c r="I1936">
        <v>23</v>
      </c>
      <c r="J1936">
        <v>1</v>
      </c>
      <c r="K1936" t="str">
        <f t="shared" si="60"/>
        <v>Young</v>
      </c>
      <c r="L1936" t="str">
        <f t="shared" si="61"/>
        <v>Obese</v>
      </c>
    </row>
    <row r="1937" spans="1:12" x14ac:dyDescent="0.2">
      <c r="A1937">
        <v>1936</v>
      </c>
      <c r="B1937">
        <v>3</v>
      </c>
      <c r="C1937">
        <v>158</v>
      </c>
      <c r="D1937">
        <v>64</v>
      </c>
      <c r="E1937">
        <v>13</v>
      </c>
      <c r="F1937">
        <v>387</v>
      </c>
      <c r="G1937">
        <v>31.2</v>
      </c>
      <c r="H1937">
        <v>0.29499999999999998</v>
      </c>
      <c r="I1937">
        <v>24</v>
      </c>
      <c r="J1937">
        <v>0</v>
      </c>
      <c r="K1937" t="str">
        <f t="shared" si="60"/>
        <v>Young</v>
      </c>
      <c r="L1937" t="str">
        <f t="shared" si="61"/>
        <v>Obese</v>
      </c>
    </row>
    <row r="1938" spans="1:12" x14ac:dyDescent="0.2">
      <c r="A1938">
        <v>1937</v>
      </c>
      <c r="B1938">
        <v>5</v>
      </c>
      <c r="C1938">
        <v>126</v>
      </c>
      <c r="D1938">
        <v>78</v>
      </c>
      <c r="E1938">
        <v>27</v>
      </c>
      <c r="F1938">
        <v>22</v>
      </c>
      <c r="G1938">
        <v>29.6</v>
      </c>
      <c r="H1938">
        <v>0.439</v>
      </c>
      <c r="I1938">
        <v>40</v>
      </c>
      <c r="J1938">
        <v>0</v>
      </c>
      <c r="K1938" t="str">
        <f t="shared" si="60"/>
        <v>Middle-Aged</v>
      </c>
      <c r="L1938" t="str">
        <f t="shared" si="61"/>
        <v>Overweight</v>
      </c>
    </row>
    <row r="1939" spans="1:12" x14ac:dyDescent="0.2">
      <c r="A1939">
        <v>1938</v>
      </c>
      <c r="B1939">
        <v>10</v>
      </c>
      <c r="C1939">
        <v>129</v>
      </c>
      <c r="D1939">
        <v>62</v>
      </c>
      <c r="E1939">
        <v>36</v>
      </c>
      <c r="F1939">
        <v>0</v>
      </c>
      <c r="G1939">
        <v>41.2</v>
      </c>
      <c r="H1939">
        <v>0.441</v>
      </c>
      <c r="I1939">
        <v>38</v>
      </c>
      <c r="J1939">
        <v>1</v>
      </c>
      <c r="K1939" t="str">
        <f t="shared" si="60"/>
        <v>Middle-Aged</v>
      </c>
      <c r="L1939" t="str">
        <f t="shared" si="61"/>
        <v>Obese</v>
      </c>
    </row>
    <row r="1940" spans="1:12" x14ac:dyDescent="0.2">
      <c r="A1940">
        <v>1939</v>
      </c>
      <c r="B1940">
        <v>0</v>
      </c>
      <c r="C1940">
        <v>134</v>
      </c>
      <c r="D1940">
        <v>58</v>
      </c>
      <c r="E1940">
        <v>20</v>
      </c>
      <c r="F1940">
        <v>291</v>
      </c>
      <c r="G1940">
        <v>26.4</v>
      </c>
      <c r="H1940">
        <v>0.35199999999999998</v>
      </c>
      <c r="I1940">
        <v>21</v>
      </c>
      <c r="J1940">
        <v>0</v>
      </c>
      <c r="K1940" t="str">
        <f t="shared" si="60"/>
        <v>Young</v>
      </c>
      <c r="L1940" t="str">
        <f t="shared" si="61"/>
        <v>Overweight</v>
      </c>
    </row>
    <row r="1941" spans="1:12" x14ac:dyDescent="0.2">
      <c r="A1941">
        <v>1940</v>
      </c>
      <c r="B1941">
        <v>3</v>
      </c>
      <c r="C1941">
        <v>102</v>
      </c>
      <c r="D1941">
        <v>74</v>
      </c>
      <c r="E1941">
        <v>0</v>
      </c>
      <c r="F1941">
        <v>0</v>
      </c>
      <c r="G1941">
        <v>29.5</v>
      </c>
      <c r="H1941">
        <v>0.121</v>
      </c>
      <c r="I1941">
        <v>32</v>
      </c>
      <c r="J1941">
        <v>0</v>
      </c>
      <c r="K1941" t="str">
        <f t="shared" si="60"/>
        <v>Middle-Aged</v>
      </c>
      <c r="L1941" t="str">
        <f t="shared" si="61"/>
        <v>Overweight</v>
      </c>
    </row>
    <row r="1942" spans="1:12" x14ac:dyDescent="0.2">
      <c r="A1942">
        <v>1941</v>
      </c>
      <c r="B1942">
        <v>7</v>
      </c>
      <c r="C1942">
        <v>187</v>
      </c>
      <c r="D1942">
        <v>50</v>
      </c>
      <c r="E1942">
        <v>33</v>
      </c>
      <c r="F1942">
        <v>392</v>
      </c>
      <c r="G1942">
        <v>33.9</v>
      </c>
      <c r="H1942">
        <v>0.82599999999999996</v>
      </c>
      <c r="I1942">
        <v>34</v>
      </c>
      <c r="J1942">
        <v>1</v>
      </c>
      <c r="K1942" t="str">
        <f t="shared" si="60"/>
        <v>Middle-Aged</v>
      </c>
      <c r="L1942" t="str">
        <f t="shared" si="61"/>
        <v>Obese</v>
      </c>
    </row>
    <row r="1943" spans="1:12" x14ac:dyDescent="0.2">
      <c r="A1943">
        <v>1942</v>
      </c>
      <c r="B1943">
        <v>3</v>
      </c>
      <c r="C1943">
        <v>173</v>
      </c>
      <c r="D1943">
        <v>78</v>
      </c>
      <c r="E1943">
        <v>39</v>
      </c>
      <c r="F1943">
        <v>185</v>
      </c>
      <c r="G1943">
        <v>33.799999999999997</v>
      </c>
      <c r="H1943">
        <v>0.97</v>
      </c>
      <c r="I1943">
        <v>31</v>
      </c>
      <c r="J1943">
        <v>1</v>
      </c>
      <c r="K1943" t="str">
        <f t="shared" si="60"/>
        <v>Middle-Aged</v>
      </c>
      <c r="L1943" t="str">
        <f t="shared" si="61"/>
        <v>Obese</v>
      </c>
    </row>
    <row r="1944" spans="1:12" x14ac:dyDescent="0.2">
      <c r="A1944">
        <v>1943</v>
      </c>
      <c r="B1944">
        <v>10</v>
      </c>
      <c r="C1944">
        <v>94</v>
      </c>
      <c r="D1944">
        <v>72</v>
      </c>
      <c r="E1944">
        <v>18</v>
      </c>
      <c r="F1944">
        <v>0</v>
      </c>
      <c r="G1944">
        <v>23.1</v>
      </c>
      <c r="H1944">
        <v>0.59499999999999997</v>
      </c>
      <c r="I1944">
        <v>56</v>
      </c>
      <c r="J1944">
        <v>0</v>
      </c>
      <c r="K1944" t="str">
        <f t="shared" si="60"/>
        <v>Senior</v>
      </c>
      <c r="L1944" t="str">
        <f t="shared" si="61"/>
        <v>Normal</v>
      </c>
    </row>
    <row r="1945" spans="1:12" x14ac:dyDescent="0.2">
      <c r="A1945">
        <v>1944</v>
      </c>
      <c r="B1945">
        <v>1</v>
      </c>
      <c r="C1945">
        <v>108</v>
      </c>
      <c r="D1945">
        <v>60</v>
      </c>
      <c r="E1945">
        <v>46</v>
      </c>
      <c r="F1945">
        <v>178</v>
      </c>
      <c r="G1945">
        <v>35.5</v>
      </c>
      <c r="H1945">
        <v>0.41499999999999998</v>
      </c>
      <c r="I1945">
        <v>24</v>
      </c>
      <c r="J1945">
        <v>0</v>
      </c>
      <c r="K1945" t="str">
        <f t="shared" si="60"/>
        <v>Young</v>
      </c>
      <c r="L1945" t="str">
        <f t="shared" si="61"/>
        <v>Obese</v>
      </c>
    </row>
    <row r="1946" spans="1:12" x14ac:dyDescent="0.2">
      <c r="A1946">
        <v>1945</v>
      </c>
      <c r="B1946">
        <v>5</v>
      </c>
      <c r="C1946">
        <v>97</v>
      </c>
      <c r="D1946">
        <v>76</v>
      </c>
      <c r="E1946">
        <v>27</v>
      </c>
      <c r="F1946">
        <v>0</v>
      </c>
      <c r="G1946">
        <v>35.6</v>
      </c>
      <c r="H1946">
        <v>0.378</v>
      </c>
      <c r="I1946">
        <v>52</v>
      </c>
      <c r="J1946">
        <v>1</v>
      </c>
      <c r="K1946" t="str">
        <f t="shared" si="60"/>
        <v>Senior</v>
      </c>
      <c r="L1946" t="str">
        <f t="shared" si="61"/>
        <v>Obese</v>
      </c>
    </row>
    <row r="1947" spans="1:12" x14ac:dyDescent="0.2">
      <c r="A1947">
        <v>1946</v>
      </c>
      <c r="B1947">
        <v>4</v>
      </c>
      <c r="C1947">
        <v>83</v>
      </c>
      <c r="D1947">
        <v>86</v>
      </c>
      <c r="E1947">
        <v>19</v>
      </c>
      <c r="F1947">
        <v>0</v>
      </c>
      <c r="G1947">
        <v>29.3</v>
      </c>
      <c r="H1947">
        <v>0.317</v>
      </c>
      <c r="I1947">
        <v>34</v>
      </c>
      <c r="J1947">
        <v>0</v>
      </c>
      <c r="K1947" t="str">
        <f t="shared" si="60"/>
        <v>Middle-Aged</v>
      </c>
      <c r="L1947" t="str">
        <f t="shared" si="61"/>
        <v>Overweight</v>
      </c>
    </row>
    <row r="1948" spans="1:12" x14ac:dyDescent="0.2">
      <c r="A1948">
        <v>1947</v>
      </c>
      <c r="B1948">
        <v>1</v>
      </c>
      <c r="C1948">
        <v>114</v>
      </c>
      <c r="D1948">
        <v>66</v>
      </c>
      <c r="E1948">
        <v>36</v>
      </c>
      <c r="F1948">
        <v>200</v>
      </c>
      <c r="G1948">
        <v>38.1</v>
      </c>
      <c r="H1948">
        <v>0.28899999999999998</v>
      </c>
      <c r="I1948">
        <v>21</v>
      </c>
      <c r="J1948">
        <v>0</v>
      </c>
      <c r="K1948" t="str">
        <f t="shared" si="60"/>
        <v>Young</v>
      </c>
      <c r="L1948" t="str">
        <f t="shared" si="61"/>
        <v>Obese</v>
      </c>
    </row>
    <row r="1949" spans="1:12" x14ac:dyDescent="0.2">
      <c r="A1949">
        <v>1948</v>
      </c>
      <c r="B1949">
        <v>1</v>
      </c>
      <c r="C1949">
        <v>149</v>
      </c>
      <c r="D1949">
        <v>68</v>
      </c>
      <c r="E1949">
        <v>29</v>
      </c>
      <c r="F1949">
        <v>127</v>
      </c>
      <c r="G1949">
        <v>29.3</v>
      </c>
      <c r="H1949">
        <v>0.34899999999999998</v>
      </c>
      <c r="I1949">
        <v>42</v>
      </c>
      <c r="J1949">
        <v>1</v>
      </c>
      <c r="K1949" t="str">
        <f t="shared" si="60"/>
        <v>Middle-Aged</v>
      </c>
      <c r="L1949" t="str">
        <f t="shared" si="61"/>
        <v>Overweight</v>
      </c>
    </row>
    <row r="1950" spans="1:12" x14ac:dyDescent="0.2">
      <c r="A1950">
        <v>1949</v>
      </c>
      <c r="B1950">
        <v>5</v>
      </c>
      <c r="C1950">
        <v>117</v>
      </c>
      <c r="D1950">
        <v>86</v>
      </c>
      <c r="E1950">
        <v>30</v>
      </c>
      <c r="F1950">
        <v>105</v>
      </c>
      <c r="G1950">
        <v>39.1</v>
      </c>
      <c r="H1950">
        <v>0.251</v>
      </c>
      <c r="I1950">
        <v>42</v>
      </c>
      <c r="J1950">
        <v>0</v>
      </c>
      <c r="K1950" t="str">
        <f t="shared" si="60"/>
        <v>Middle-Aged</v>
      </c>
      <c r="L1950" t="str">
        <f t="shared" si="61"/>
        <v>Obese</v>
      </c>
    </row>
    <row r="1951" spans="1:12" x14ac:dyDescent="0.2">
      <c r="A1951">
        <v>1950</v>
      </c>
      <c r="B1951">
        <v>1</v>
      </c>
      <c r="C1951">
        <v>111</v>
      </c>
      <c r="D1951">
        <v>94</v>
      </c>
      <c r="E1951">
        <v>0</v>
      </c>
      <c r="F1951">
        <v>0</v>
      </c>
      <c r="G1951">
        <v>32.799999999999997</v>
      </c>
      <c r="H1951">
        <v>0.26500000000000001</v>
      </c>
      <c r="I1951">
        <v>45</v>
      </c>
      <c r="J1951">
        <v>0</v>
      </c>
      <c r="K1951" t="str">
        <f t="shared" si="60"/>
        <v>Senior</v>
      </c>
      <c r="L1951" t="str">
        <f t="shared" si="61"/>
        <v>Obese</v>
      </c>
    </row>
    <row r="1952" spans="1:12" x14ac:dyDescent="0.2">
      <c r="A1952">
        <v>1951</v>
      </c>
      <c r="B1952">
        <v>4</v>
      </c>
      <c r="C1952">
        <v>112</v>
      </c>
      <c r="D1952">
        <v>78</v>
      </c>
      <c r="E1952">
        <v>40</v>
      </c>
      <c r="F1952">
        <v>0</v>
      </c>
      <c r="G1952">
        <v>39.4</v>
      </c>
      <c r="H1952">
        <v>0.23599999999999999</v>
      </c>
      <c r="I1952">
        <v>38</v>
      </c>
      <c r="J1952">
        <v>0</v>
      </c>
      <c r="K1952" t="str">
        <f t="shared" si="60"/>
        <v>Middle-Aged</v>
      </c>
      <c r="L1952" t="str">
        <f t="shared" si="61"/>
        <v>Obese</v>
      </c>
    </row>
    <row r="1953" spans="1:12" x14ac:dyDescent="0.2">
      <c r="A1953">
        <v>1952</v>
      </c>
      <c r="B1953">
        <v>1</v>
      </c>
      <c r="C1953">
        <v>116</v>
      </c>
      <c r="D1953">
        <v>78</v>
      </c>
      <c r="E1953">
        <v>29</v>
      </c>
      <c r="F1953">
        <v>180</v>
      </c>
      <c r="G1953">
        <v>36.1</v>
      </c>
      <c r="H1953">
        <v>0.496</v>
      </c>
      <c r="I1953">
        <v>25</v>
      </c>
      <c r="J1953">
        <v>0</v>
      </c>
      <c r="K1953" t="str">
        <f t="shared" si="60"/>
        <v>Young</v>
      </c>
      <c r="L1953" t="str">
        <f t="shared" si="61"/>
        <v>Obese</v>
      </c>
    </row>
    <row r="1954" spans="1:12" x14ac:dyDescent="0.2">
      <c r="A1954">
        <v>1953</v>
      </c>
      <c r="B1954">
        <v>0</v>
      </c>
      <c r="C1954">
        <v>141</v>
      </c>
      <c r="D1954">
        <v>84</v>
      </c>
      <c r="E1954">
        <v>26</v>
      </c>
      <c r="F1954">
        <v>0</v>
      </c>
      <c r="G1954">
        <v>32.4</v>
      </c>
      <c r="H1954">
        <v>0.433</v>
      </c>
      <c r="I1954">
        <v>22</v>
      </c>
      <c r="J1954">
        <v>0</v>
      </c>
      <c r="K1954" t="str">
        <f t="shared" si="60"/>
        <v>Young</v>
      </c>
      <c r="L1954" t="str">
        <f t="shared" si="61"/>
        <v>Obese</v>
      </c>
    </row>
    <row r="1955" spans="1:12" x14ac:dyDescent="0.2">
      <c r="A1955">
        <v>1954</v>
      </c>
      <c r="B1955">
        <v>2</v>
      </c>
      <c r="C1955">
        <v>175</v>
      </c>
      <c r="D1955">
        <v>88</v>
      </c>
      <c r="E1955">
        <v>0</v>
      </c>
      <c r="F1955">
        <v>0</v>
      </c>
      <c r="G1955">
        <v>22.9</v>
      </c>
      <c r="H1955">
        <v>0.32600000000000001</v>
      </c>
      <c r="I1955">
        <v>22</v>
      </c>
      <c r="J1955">
        <v>0</v>
      </c>
      <c r="K1955" t="str">
        <f t="shared" si="60"/>
        <v>Young</v>
      </c>
      <c r="L1955" t="str">
        <f t="shared" si="61"/>
        <v>Normal</v>
      </c>
    </row>
    <row r="1956" spans="1:12" x14ac:dyDescent="0.2">
      <c r="A1956">
        <v>1955</v>
      </c>
      <c r="B1956">
        <v>2</v>
      </c>
      <c r="C1956">
        <v>92</v>
      </c>
      <c r="D1956">
        <v>52</v>
      </c>
      <c r="E1956">
        <v>0</v>
      </c>
      <c r="F1956">
        <v>0</v>
      </c>
      <c r="G1956">
        <v>30.1</v>
      </c>
      <c r="H1956">
        <v>0.14099999999999999</v>
      </c>
      <c r="I1956">
        <v>22</v>
      </c>
      <c r="J1956">
        <v>0</v>
      </c>
      <c r="K1956" t="str">
        <f t="shared" si="60"/>
        <v>Young</v>
      </c>
      <c r="L1956" t="str">
        <f t="shared" si="61"/>
        <v>Obese</v>
      </c>
    </row>
    <row r="1957" spans="1:12" x14ac:dyDescent="0.2">
      <c r="A1957">
        <v>1956</v>
      </c>
      <c r="B1957">
        <v>3</v>
      </c>
      <c r="C1957">
        <v>130</v>
      </c>
      <c r="D1957">
        <v>78</v>
      </c>
      <c r="E1957">
        <v>23</v>
      </c>
      <c r="F1957">
        <v>79</v>
      </c>
      <c r="G1957">
        <v>28.4</v>
      </c>
      <c r="H1957">
        <v>0.32300000000000001</v>
      </c>
      <c r="I1957">
        <v>34</v>
      </c>
      <c r="J1957">
        <v>1</v>
      </c>
      <c r="K1957" t="str">
        <f t="shared" si="60"/>
        <v>Middle-Aged</v>
      </c>
      <c r="L1957" t="str">
        <f t="shared" si="61"/>
        <v>Overweight</v>
      </c>
    </row>
    <row r="1958" spans="1:12" x14ac:dyDescent="0.2">
      <c r="A1958">
        <v>1957</v>
      </c>
      <c r="B1958">
        <v>8</v>
      </c>
      <c r="C1958">
        <v>120</v>
      </c>
      <c r="D1958">
        <v>86</v>
      </c>
      <c r="E1958">
        <v>0</v>
      </c>
      <c r="F1958">
        <v>0</v>
      </c>
      <c r="G1958">
        <v>28.4</v>
      </c>
      <c r="H1958">
        <v>0.25900000000000001</v>
      </c>
      <c r="I1958">
        <v>22</v>
      </c>
      <c r="J1958">
        <v>1</v>
      </c>
      <c r="K1958" t="str">
        <f t="shared" si="60"/>
        <v>Young</v>
      </c>
      <c r="L1958" t="str">
        <f t="shared" si="61"/>
        <v>Overweight</v>
      </c>
    </row>
    <row r="1959" spans="1:12" x14ac:dyDescent="0.2">
      <c r="A1959">
        <v>1958</v>
      </c>
      <c r="B1959">
        <v>2</v>
      </c>
      <c r="C1959">
        <v>174</v>
      </c>
      <c r="D1959">
        <v>88</v>
      </c>
      <c r="E1959">
        <v>37</v>
      </c>
      <c r="F1959">
        <v>120</v>
      </c>
      <c r="G1959">
        <v>44.5</v>
      </c>
      <c r="H1959">
        <v>0.64600000000000002</v>
      </c>
      <c r="I1959">
        <v>24</v>
      </c>
      <c r="J1959">
        <v>1</v>
      </c>
      <c r="K1959" t="str">
        <f t="shared" si="60"/>
        <v>Young</v>
      </c>
      <c r="L1959" t="str">
        <f t="shared" si="61"/>
        <v>Obese</v>
      </c>
    </row>
    <row r="1960" spans="1:12" x14ac:dyDescent="0.2">
      <c r="A1960">
        <v>1959</v>
      </c>
      <c r="B1960">
        <v>2</v>
      </c>
      <c r="C1960">
        <v>106</v>
      </c>
      <c r="D1960">
        <v>56</v>
      </c>
      <c r="E1960">
        <v>27</v>
      </c>
      <c r="F1960">
        <v>165</v>
      </c>
      <c r="G1960">
        <v>29</v>
      </c>
      <c r="H1960">
        <v>0.42599999999999999</v>
      </c>
      <c r="I1960">
        <v>22</v>
      </c>
      <c r="J1960">
        <v>0</v>
      </c>
      <c r="K1960" t="str">
        <f t="shared" si="60"/>
        <v>Young</v>
      </c>
      <c r="L1960" t="str">
        <f t="shared" si="61"/>
        <v>Overweight</v>
      </c>
    </row>
    <row r="1961" spans="1:12" x14ac:dyDescent="0.2">
      <c r="A1961">
        <v>1960</v>
      </c>
      <c r="B1961">
        <v>2</v>
      </c>
      <c r="C1961">
        <v>105</v>
      </c>
      <c r="D1961">
        <v>75</v>
      </c>
      <c r="E1961">
        <v>0</v>
      </c>
      <c r="F1961">
        <v>0</v>
      </c>
      <c r="G1961">
        <v>23.3</v>
      </c>
      <c r="H1961">
        <v>0.56000000000000005</v>
      </c>
      <c r="I1961">
        <v>53</v>
      </c>
      <c r="J1961">
        <v>0</v>
      </c>
      <c r="K1961" t="str">
        <f t="shared" si="60"/>
        <v>Senior</v>
      </c>
      <c r="L1961" t="str">
        <f t="shared" si="61"/>
        <v>Normal</v>
      </c>
    </row>
    <row r="1962" spans="1:12" x14ac:dyDescent="0.2">
      <c r="A1962">
        <v>1961</v>
      </c>
      <c r="B1962">
        <v>4</v>
      </c>
      <c r="C1962">
        <v>95</v>
      </c>
      <c r="D1962">
        <v>60</v>
      </c>
      <c r="E1962">
        <v>32</v>
      </c>
      <c r="F1962">
        <v>0</v>
      </c>
      <c r="G1962">
        <v>35.4</v>
      </c>
      <c r="H1962">
        <v>0.28399999999999997</v>
      </c>
      <c r="I1962">
        <v>28</v>
      </c>
      <c r="J1962">
        <v>0</v>
      </c>
      <c r="K1962" t="str">
        <f t="shared" si="60"/>
        <v>Young</v>
      </c>
      <c r="L1962" t="str">
        <f t="shared" si="61"/>
        <v>Obese</v>
      </c>
    </row>
    <row r="1963" spans="1:12" x14ac:dyDescent="0.2">
      <c r="A1963">
        <v>1962</v>
      </c>
      <c r="B1963">
        <v>0</v>
      </c>
      <c r="C1963">
        <v>126</v>
      </c>
      <c r="D1963">
        <v>86</v>
      </c>
      <c r="E1963">
        <v>27</v>
      </c>
      <c r="F1963">
        <v>120</v>
      </c>
      <c r="G1963">
        <v>27.4</v>
      </c>
      <c r="H1963">
        <v>0.51500000000000001</v>
      </c>
      <c r="I1963">
        <v>21</v>
      </c>
      <c r="J1963">
        <v>0</v>
      </c>
      <c r="K1963" t="str">
        <f t="shared" si="60"/>
        <v>Young</v>
      </c>
      <c r="L1963" t="str">
        <f t="shared" si="61"/>
        <v>Overweight</v>
      </c>
    </row>
    <row r="1964" spans="1:12" x14ac:dyDescent="0.2">
      <c r="A1964">
        <v>1963</v>
      </c>
      <c r="B1964">
        <v>8</v>
      </c>
      <c r="C1964">
        <v>65</v>
      </c>
      <c r="D1964">
        <v>72</v>
      </c>
      <c r="E1964">
        <v>23</v>
      </c>
      <c r="F1964">
        <v>0</v>
      </c>
      <c r="G1964">
        <v>32</v>
      </c>
      <c r="H1964">
        <v>0.6</v>
      </c>
      <c r="I1964">
        <v>42</v>
      </c>
      <c r="J1964">
        <v>0</v>
      </c>
      <c r="K1964" t="str">
        <f t="shared" si="60"/>
        <v>Middle-Aged</v>
      </c>
      <c r="L1964" t="str">
        <f t="shared" si="61"/>
        <v>Obese</v>
      </c>
    </row>
    <row r="1965" spans="1:12" x14ac:dyDescent="0.2">
      <c r="A1965">
        <v>1964</v>
      </c>
      <c r="B1965">
        <v>2</v>
      </c>
      <c r="C1965">
        <v>99</v>
      </c>
      <c r="D1965">
        <v>60</v>
      </c>
      <c r="E1965">
        <v>17</v>
      </c>
      <c r="F1965">
        <v>160</v>
      </c>
      <c r="G1965">
        <v>36.6</v>
      </c>
      <c r="H1965">
        <v>0.45300000000000001</v>
      </c>
      <c r="I1965">
        <v>21</v>
      </c>
      <c r="J1965">
        <v>0</v>
      </c>
      <c r="K1965" t="str">
        <f t="shared" si="60"/>
        <v>Young</v>
      </c>
      <c r="L1965" t="str">
        <f t="shared" si="61"/>
        <v>Obese</v>
      </c>
    </row>
    <row r="1966" spans="1:12" x14ac:dyDescent="0.2">
      <c r="A1966">
        <v>1965</v>
      </c>
      <c r="B1966">
        <v>1</v>
      </c>
      <c r="C1966">
        <v>102</v>
      </c>
      <c r="D1966">
        <v>74</v>
      </c>
      <c r="E1966">
        <v>0</v>
      </c>
      <c r="F1966">
        <v>0</v>
      </c>
      <c r="G1966">
        <v>39.5</v>
      </c>
      <c r="H1966">
        <v>0.29299999999999998</v>
      </c>
      <c r="I1966">
        <v>42</v>
      </c>
      <c r="J1966">
        <v>1</v>
      </c>
      <c r="K1966" t="str">
        <f t="shared" si="60"/>
        <v>Middle-Aged</v>
      </c>
      <c r="L1966" t="str">
        <f t="shared" si="61"/>
        <v>Obese</v>
      </c>
    </row>
    <row r="1967" spans="1:12" x14ac:dyDescent="0.2">
      <c r="A1967">
        <v>1966</v>
      </c>
      <c r="B1967">
        <v>11</v>
      </c>
      <c r="C1967">
        <v>120</v>
      </c>
      <c r="D1967">
        <v>80</v>
      </c>
      <c r="E1967">
        <v>37</v>
      </c>
      <c r="F1967">
        <v>150</v>
      </c>
      <c r="G1967">
        <v>42.3</v>
      </c>
      <c r="H1967">
        <v>0.78500000000000003</v>
      </c>
      <c r="I1967">
        <v>48</v>
      </c>
      <c r="J1967">
        <v>1</v>
      </c>
      <c r="K1967" t="str">
        <f t="shared" si="60"/>
        <v>Senior</v>
      </c>
      <c r="L1967" t="str">
        <f t="shared" si="61"/>
        <v>Obese</v>
      </c>
    </row>
    <row r="1968" spans="1:12" x14ac:dyDescent="0.2">
      <c r="A1968">
        <v>1967</v>
      </c>
      <c r="B1968">
        <v>3</v>
      </c>
      <c r="C1968">
        <v>102</v>
      </c>
      <c r="D1968">
        <v>44</v>
      </c>
      <c r="E1968">
        <v>20</v>
      </c>
      <c r="F1968">
        <v>94</v>
      </c>
      <c r="G1968">
        <v>30.8</v>
      </c>
      <c r="H1968">
        <v>0.4</v>
      </c>
      <c r="I1968">
        <v>26</v>
      </c>
      <c r="J1968">
        <v>0</v>
      </c>
      <c r="K1968" t="str">
        <f t="shared" si="60"/>
        <v>Young</v>
      </c>
      <c r="L1968" t="str">
        <f t="shared" si="61"/>
        <v>Obese</v>
      </c>
    </row>
    <row r="1969" spans="1:12" x14ac:dyDescent="0.2">
      <c r="A1969">
        <v>1968</v>
      </c>
      <c r="B1969">
        <v>1</v>
      </c>
      <c r="C1969">
        <v>109</v>
      </c>
      <c r="D1969">
        <v>58</v>
      </c>
      <c r="E1969">
        <v>18</v>
      </c>
      <c r="F1969">
        <v>116</v>
      </c>
      <c r="G1969">
        <v>28.5</v>
      </c>
      <c r="H1969">
        <v>0.219</v>
      </c>
      <c r="I1969">
        <v>22</v>
      </c>
      <c r="J1969">
        <v>0</v>
      </c>
      <c r="K1969" t="str">
        <f t="shared" si="60"/>
        <v>Young</v>
      </c>
      <c r="L1969" t="str">
        <f t="shared" si="61"/>
        <v>Overweight</v>
      </c>
    </row>
    <row r="1970" spans="1:12" x14ac:dyDescent="0.2">
      <c r="A1970">
        <v>1969</v>
      </c>
      <c r="B1970">
        <v>9</v>
      </c>
      <c r="C1970">
        <v>140</v>
      </c>
      <c r="D1970">
        <v>94</v>
      </c>
      <c r="E1970">
        <v>0</v>
      </c>
      <c r="F1970">
        <v>0</v>
      </c>
      <c r="G1970">
        <v>32.700000000000003</v>
      </c>
      <c r="H1970">
        <v>0.73399999999999999</v>
      </c>
      <c r="I1970">
        <v>45</v>
      </c>
      <c r="J1970">
        <v>1</v>
      </c>
      <c r="K1970" t="str">
        <f t="shared" si="60"/>
        <v>Senior</v>
      </c>
      <c r="L1970" t="str">
        <f t="shared" si="61"/>
        <v>Obese</v>
      </c>
    </row>
    <row r="1971" spans="1:12" x14ac:dyDescent="0.2">
      <c r="A1971">
        <v>1970</v>
      </c>
      <c r="B1971">
        <v>13</v>
      </c>
      <c r="C1971">
        <v>153</v>
      </c>
      <c r="D1971">
        <v>88</v>
      </c>
      <c r="E1971">
        <v>37</v>
      </c>
      <c r="F1971">
        <v>140</v>
      </c>
      <c r="G1971">
        <v>40.6</v>
      </c>
      <c r="H1971">
        <v>1.1739999999999999</v>
      </c>
      <c r="I1971">
        <v>39</v>
      </c>
      <c r="J1971">
        <v>0</v>
      </c>
      <c r="K1971" t="str">
        <f t="shared" si="60"/>
        <v>Middle-Aged</v>
      </c>
      <c r="L1971" t="str">
        <f t="shared" si="61"/>
        <v>Obese</v>
      </c>
    </row>
    <row r="1972" spans="1:12" x14ac:dyDescent="0.2">
      <c r="A1972">
        <v>1971</v>
      </c>
      <c r="B1972">
        <v>12</v>
      </c>
      <c r="C1972">
        <v>100</v>
      </c>
      <c r="D1972">
        <v>84</v>
      </c>
      <c r="E1972">
        <v>33</v>
      </c>
      <c r="F1972">
        <v>105</v>
      </c>
      <c r="G1972">
        <v>30</v>
      </c>
      <c r="H1972">
        <v>0.48799999999999999</v>
      </c>
      <c r="I1972">
        <v>46</v>
      </c>
      <c r="J1972">
        <v>0</v>
      </c>
      <c r="K1972" t="str">
        <f t="shared" si="60"/>
        <v>Senior</v>
      </c>
      <c r="L1972" t="str">
        <f t="shared" si="61"/>
        <v>Obese</v>
      </c>
    </row>
    <row r="1973" spans="1:12" x14ac:dyDescent="0.2">
      <c r="A1973">
        <v>1972</v>
      </c>
      <c r="B1973">
        <v>1</v>
      </c>
      <c r="C1973">
        <v>147</v>
      </c>
      <c r="D1973">
        <v>94</v>
      </c>
      <c r="E1973">
        <v>41</v>
      </c>
      <c r="F1973">
        <v>0</v>
      </c>
      <c r="G1973">
        <v>49.3</v>
      </c>
      <c r="H1973">
        <v>0.35799999999999998</v>
      </c>
      <c r="I1973">
        <v>27</v>
      </c>
      <c r="J1973">
        <v>1</v>
      </c>
      <c r="K1973" t="str">
        <f t="shared" si="60"/>
        <v>Young</v>
      </c>
      <c r="L1973" t="str">
        <f t="shared" si="61"/>
        <v>Obese</v>
      </c>
    </row>
    <row r="1974" spans="1:12" x14ac:dyDescent="0.2">
      <c r="A1974">
        <v>1973</v>
      </c>
      <c r="B1974">
        <v>1</v>
      </c>
      <c r="C1974">
        <v>81</v>
      </c>
      <c r="D1974">
        <v>74</v>
      </c>
      <c r="E1974">
        <v>41</v>
      </c>
      <c r="F1974">
        <v>57</v>
      </c>
      <c r="G1974">
        <v>46.3</v>
      </c>
      <c r="H1974">
        <v>1.0960000000000001</v>
      </c>
      <c r="I1974">
        <v>32</v>
      </c>
      <c r="J1974">
        <v>0</v>
      </c>
      <c r="K1974" t="str">
        <f t="shared" si="60"/>
        <v>Middle-Aged</v>
      </c>
      <c r="L1974" t="str">
        <f t="shared" si="61"/>
        <v>Obese</v>
      </c>
    </row>
    <row r="1975" spans="1:12" x14ac:dyDescent="0.2">
      <c r="A1975">
        <v>1974</v>
      </c>
      <c r="B1975">
        <v>3</v>
      </c>
      <c r="C1975">
        <v>187</v>
      </c>
      <c r="D1975">
        <v>70</v>
      </c>
      <c r="E1975">
        <v>22</v>
      </c>
      <c r="F1975">
        <v>200</v>
      </c>
      <c r="G1975">
        <v>36.4</v>
      </c>
      <c r="H1975">
        <v>0.40799999999999997</v>
      </c>
      <c r="I1975">
        <v>36</v>
      </c>
      <c r="J1975">
        <v>1</v>
      </c>
      <c r="K1975" t="str">
        <f t="shared" si="60"/>
        <v>Middle-Aged</v>
      </c>
      <c r="L1975" t="str">
        <f t="shared" si="61"/>
        <v>Obese</v>
      </c>
    </row>
    <row r="1976" spans="1:12" x14ac:dyDescent="0.2">
      <c r="A1976">
        <v>1975</v>
      </c>
      <c r="B1976">
        <v>6</v>
      </c>
      <c r="C1976">
        <v>162</v>
      </c>
      <c r="D1976">
        <v>62</v>
      </c>
      <c r="E1976">
        <v>0</v>
      </c>
      <c r="F1976">
        <v>0</v>
      </c>
      <c r="G1976">
        <v>24.3</v>
      </c>
      <c r="H1976">
        <v>0.17799999999999999</v>
      </c>
      <c r="I1976">
        <v>50</v>
      </c>
      <c r="J1976">
        <v>1</v>
      </c>
      <c r="K1976" t="str">
        <f t="shared" si="60"/>
        <v>Senior</v>
      </c>
      <c r="L1976" t="str">
        <f t="shared" si="61"/>
        <v>Normal</v>
      </c>
    </row>
    <row r="1977" spans="1:12" x14ac:dyDescent="0.2">
      <c r="A1977">
        <v>1976</v>
      </c>
      <c r="B1977">
        <v>4</v>
      </c>
      <c r="C1977">
        <v>136</v>
      </c>
      <c r="D1977">
        <v>70</v>
      </c>
      <c r="E1977">
        <v>0</v>
      </c>
      <c r="F1977">
        <v>0</v>
      </c>
      <c r="G1977">
        <v>31.2</v>
      </c>
      <c r="H1977">
        <v>1.1819999999999999</v>
      </c>
      <c r="I1977">
        <v>22</v>
      </c>
      <c r="J1977">
        <v>1</v>
      </c>
      <c r="K1977" t="str">
        <f t="shared" si="60"/>
        <v>Young</v>
      </c>
      <c r="L1977" t="str">
        <f t="shared" si="61"/>
        <v>Obese</v>
      </c>
    </row>
    <row r="1978" spans="1:12" x14ac:dyDescent="0.2">
      <c r="A1978">
        <v>1977</v>
      </c>
      <c r="B1978">
        <v>1</v>
      </c>
      <c r="C1978">
        <v>121</v>
      </c>
      <c r="D1978">
        <v>78</v>
      </c>
      <c r="E1978">
        <v>39</v>
      </c>
      <c r="F1978">
        <v>74</v>
      </c>
      <c r="G1978">
        <v>39</v>
      </c>
      <c r="H1978">
        <v>0.26100000000000001</v>
      </c>
      <c r="I1978">
        <v>28</v>
      </c>
      <c r="J1978">
        <v>0</v>
      </c>
      <c r="K1978" t="str">
        <f t="shared" si="60"/>
        <v>Young</v>
      </c>
      <c r="L1978" t="str">
        <f t="shared" si="61"/>
        <v>Obese</v>
      </c>
    </row>
    <row r="1979" spans="1:12" x14ac:dyDescent="0.2">
      <c r="A1979">
        <v>1978</v>
      </c>
      <c r="B1979">
        <v>3</v>
      </c>
      <c r="C1979">
        <v>108</v>
      </c>
      <c r="D1979">
        <v>62</v>
      </c>
      <c r="E1979">
        <v>24</v>
      </c>
      <c r="F1979">
        <v>0</v>
      </c>
      <c r="G1979">
        <v>26</v>
      </c>
      <c r="H1979">
        <v>0.223</v>
      </c>
      <c r="I1979">
        <v>25</v>
      </c>
      <c r="J1979">
        <v>0</v>
      </c>
      <c r="K1979" t="str">
        <f t="shared" si="60"/>
        <v>Young</v>
      </c>
      <c r="L1979" t="str">
        <f t="shared" si="61"/>
        <v>Overweight</v>
      </c>
    </row>
    <row r="1980" spans="1:12" x14ac:dyDescent="0.2">
      <c r="A1980">
        <v>1979</v>
      </c>
      <c r="B1980">
        <v>0</v>
      </c>
      <c r="C1980">
        <v>181</v>
      </c>
      <c r="D1980">
        <v>88</v>
      </c>
      <c r="E1980">
        <v>44</v>
      </c>
      <c r="F1980">
        <v>510</v>
      </c>
      <c r="G1980">
        <v>43.3</v>
      </c>
      <c r="H1980">
        <v>0.222</v>
      </c>
      <c r="I1980">
        <v>26</v>
      </c>
      <c r="J1980">
        <v>1</v>
      </c>
      <c r="K1980" t="str">
        <f t="shared" si="60"/>
        <v>Young</v>
      </c>
      <c r="L1980" t="str">
        <f t="shared" si="61"/>
        <v>Obese</v>
      </c>
    </row>
    <row r="1981" spans="1:12" x14ac:dyDescent="0.2">
      <c r="A1981">
        <v>1980</v>
      </c>
      <c r="B1981">
        <v>8</v>
      </c>
      <c r="C1981">
        <v>154</v>
      </c>
      <c r="D1981">
        <v>78</v>
      </c>
      <c r="E1981">
        <v>32</v>
      </c>
      <c r="F1981">
        <v>0</v>
      </c>
      <c r="G1981">
        <v>32.4</v>
      </c>
      <c r="H1981">
        <v>0.443</v>
      </c>
      <c r="I1981">
        <v>45</v>
      </c>
      <c r="J1981">
        <v>1</v>
      </c>
      <c r="K1981" t="str">
        <f t="shared" si="60"/>
        <v>Senior</v>
      </c>
      <c r="L1981" t="str">
        <f t="shared" si="61"/>
        <v>Obese</v>
      </c>
    </row>
    <row r="1982" spans="1:12" x14ac:dyDescent="0.2">
      <c r="A1982">
        <v>1981</v>
      </c>
      <c r="B1982">
        <v>1</v>
      </c>
      <c r="C1982">
        <v>128</v>
      </c>
      <c r="D1982">
        <v>88</v>
      </c>
      <c r="E1982">
        <v>39</v>
      </c>
      <c r="F1982">
        <v>110</v>
      </c>
      <c r="G1982">
        <v>36.5</v>
      </c>
      <c r="H1982">
        <v>1.0569999999999999</v>
      </c>
      <c r="I1982">
        <v>37</v>
      </c>
      <c r="J1982">
        <v>1</v>
      </c>
      <c r="K1982" t="str">
        <f t="shared" si="60"/>
        <v>Middle-Aged</v>
      </c>
      <c r="L1982" t="str">
        <f t="shared" si="61"/>
        <v>Obese</v>
      </c>
    </row>
    <row r="1983" spans="1:12" x14ac:dyDescent="0.2">
      <c r="A1983">
        <v>1982</v>
      </c>
      <c r="B1983">
        <v>7</v>
      </c>
      <c r="C1983">
        <v>137</v>
      </c>
      <c r="D1983">
        <v>90</v>
      </c>
      <c r="E1983">
        <v>41</v>
      </c>
      <c r="F1983">
        <v>0</v>
      </c>
      <c r="G1983">
        <v>32</v>
      </c>
      <c r="H1983">
        <v>0.39100000000000001</v>
      </c>
      <c r="I1983">
        <v>39</v>
      </c>
      <c r="J1983">
        <v>0</v>
      </c>
      <c r="K1983" t="str">
        <f t="shared" si="60"/>
        <v>Middle-Aged</v>
      </c>
      <c r="L1983" t="str">
        <f t="shared" si="61"/>
        <v>Obese</v>
      </c>
    </row>
    <row r="1984" spans="1:12" x14ac:dyDescent="0.2">
      <c r="A1984">
        <v>1983</v>
      </c>
      <c r="B1984">
        <v>0</v>
      </c>
      <c r="C1984">
        <v>123</v>
      </c>
      <c r="D1984">
        <v>72</v>
      </c>
      <c r="E1984">
        <v>0</v>
      </c>
      <c r="F1984">
        <v>0</v>
      </c>
      <c r="G1984">
        <v>36.299999999999997</v>
      </c>
      <c r="H1984">
        <v>0.25800000000000001</v>
      </c>
      <c r="I1984">
        <v>52</v>
      </c>
      <c r="J1984">
        <v>1</v>
      </c>
      <c r="K1984" t="str">
        <f t="shared" si="60"/>
        <v>Senior</v>
      </c>
      <c r="L1984" t="str">
        <f t="shared" si="61"/>
        <v>Obese</v>
      </c>
    </row>
    <row r="1985" spans="1:12" x14ac:dyDescent="0.2">
      <c r="A1985">
        <v>1984</v>
      </c>
      <c r="B1985">
        <v>1</v>
      </c>
      <c r="C1985">
        <v>106</v>
      </c>
      <c r="D1985">
        <v>76</v>
      </c>
      <c r="E1985">
        <v>0</v>
      </c>
      <c r="F1985">
        <v>0</v>
      </c>
      <c r="G1985">
        <v>37.5</v>
      </c>
      <c r="H1985">
        <v>0.19700000000000001</v>
      </c>
      <c r="I1985">
        <v>26</v>
      </c>
      <c r="J1985">
        <v>0</v>
      </c>
      <c r="K1985" t="str">
        <f t="shared" si="60"/>
        <v>Young</v>
      </c>
      <c r="L1985" t="str">
        <f t="shared" si="61"/>
        <v>Obese</v>
      </c>
    </row>
    <row r="1986" spans="1:12" x14ac:dyDescent="0.2">
      <c r="A1986">
        <v>1985</v>
      </c>
      <c r="B1986">
        <v>6</v>
      </c>
      <c r="C1986">
        <v>190</v>
      </c>
      <c r="D1986">
        <v>92</v>
      </c>
      <c r="E1986">
        <v>0</v>
      </c>
      <c r="F1986">
        <v>0</v>
      </c>
      <c r="G1986">
        <v>35.5</v>
      </c>
      <c r="H1986">
        <v>0.27800000000000002</v>
      </c>
      <c r="I1986">
        <v>66</v>
      </c>
      <c r="J1986">
        <v>1</v>
      </c>
      <c r="K1986" t="str">
        <f t="shared" si="60"/>
        <v>Senior</v>
      </c>
      <c r="L1986" t="str">
        <f t="shared" si="61"/>
        <v>Obese</v>
      </c>
    </row>
    <row r="1987" spans="1:12" x14ac:dyDescent="0.2">
      <c r="A1987">
        <v>1986</v>
      </c>
      <c r="B1987">
        <v>2</v>
      </c>
      <c r="C1987">
        <v>88</v>
      </c>
      <c r="D1987">
        <v>58</v>
      </c>
      <c r="E1987">
        <v>26</v>
      </c>
      <c r="F1987">
        <v>16</v>
      </c>
      <c r="G1987">
        <v>28.4</v>
      </c>
      <c r="H1987">
        <v>0.76600000000000001</v>
      </c>
      <c r="I1987">
        <v>22</v>
      </c>
      <c r="J1987">
        <v>0</v>
      </c>
      <c r="K1987" t="str">
        <f t="shared" ref="K1987:K2050" si="62">IF(I1987&lt;30, "Young", IF( I1987&lt;45, "Middle-Aged", "Senior"))</f>
        <v>Young</v>
      </c>
      <c r="L1987" t="str">
        <f t="shared" ref="L1987:L2050" si="63">IF(G1987&lt;18.5, "Underweight", IF(G1987&lt;25, "Normal", IF(G1987&lt;30, "Overweight", "Obese")))</f>
        <v>Overweight</v>
      </c>
    </row>
    <row r="1988" spans="1:12" x14ac:dyDescent="0.2">
      <c r="A1988">
        <v>1987</v>
      </c>
      <c r="B1988">
        <v>9</v>
      </c>
      <c r="C1988">
        <v>170</v>
      </c>
      <c r="D1988">
        <v>74</v>
      </c>
      <c r="E1988">
        <v>31</v>
      </c>
      <c r="F1988">
        <v>0</v>
      </c>
      <c r="G1988">
        <v>44</v>
      </c>
      <c r="H1988">
        <v>0.40300000000000002</v>
      </c>
      <c r="I1988">
        <v>43</v>
      </c>
      <c r="J1988">
        <v>1</v>
      </c>
      <c r="K1988" t="str">
        <f t="shared" si="62"/>
        <v>Middle-Aged</v>
      </c>
      <c r="L1988" t="str">
        <f t="shared" si="63"/>
        <v>Obese</v>
      </c>
    </row>
    <row r="1989" spans="1:12" x14ac:dyDescent="0.2">
      <c r="A1989">
        <v>1988</v>
      </c>
      <c r="B1989">
        <v>9</v>
      </c>
      <c r="C1989">
        <v>89</v>
      </c>
      <c r="D1989">
        <v>62</v>
      </c>
      <c r="E1989">
        <v>0</v>
      </c>
      <c r="F1989">
        <v>0</v>
      </c>
      <c r="G1989">
        <v>22.5</v>
      </c>
      <c r="H1989">
        <v>0.14199999999999999</v>
      </c>
      <c r="I1989">
        <v>33</v>
      </c>
      <c r="J1989">
        <v>0</v>
      </c>
      <c r="K1989" t="str">
        <f t="shared" si="62"/>
        <v>Middle-Aged</v>
      </c>
      <c r="L1989" t="str">
        <f t="shared" si="63"/>
        <v>Normal</v>
      </c>
    </row>
    <row r="1990" spans="1:12" x14ac:dyDescent="0.2">
      <c r="A1990">
        <v>1989</v>
      </c>
      <c r="B1990">
        <v>10</v>
      </c>
      <c r="C1990">
        <v>101</v>
      </c>
      <c r="D1990">
        <v>76</v>
      </c>
      <c r="E1990">
        <v>48</v>
      </c>
      <c r="F1990">
        <v>180</v>
      </c>
      <c r="G1990">
        <v>32.9</v>
      </c>
      <c r="H1990">
        <v>0.17100000000000001</v>
      </c>
      <c r="I1990">
        <v>63</v>
      </c>
      <c r="J1990">
        <v>0</v>
      </c>
      <c r="K1990" t="str">
        <f t="shared" si="62"/>
        <v>Senior</v>
      </c>
      <c r="L1990" t="str">
        <f t="shared" si="63"/>
        <v>Obese</v>
      </c>
    </row>
    <row r="1991" spans="1:12" x14ac:dyDescent="0.2">
      <c r="A1991">
        <v>1990</v>
      </c>
      <c r="B1991">
        <v>2</v>
      </c>
      <c r="C1991">
        <v>122</v>
      </c>
      <c r="D1991">
        <v>70</v>
      </c>
      <c r="E1991">
        <v>27</v>
      </c>
      <c r="F1991">
        <v>0</v>
      </c>
      <c r="G1991">
        <v>36.799999999999997</v>
      </c>
      <c r="H1991">
        <v>0.34</v>
      </c>
      <c r="I1991">
        <v>27</v>
      </c>
      <c r="J1991">
        <v>0</v>
      </c>
      <c r="K1991" t="str">
        <f t="shared" si="62"/>
        <v>Young</v>
      </c>
      <c r="L1991" t="str">
        <f t="shared" si="63"/>
        <v>Obese</v>
      </c>
    </row>
    <row r="1992" spans="1:12" x14ac:dyDescent="0.2">
      <c r="A1992">
        <v>1991</v>
      </c>
      <c r="B1992">
        <v>5</v>
      </c>
      <c r="C1992">
        <v>121</v>
      </c>
      <c r="D1992">
        <v>72</v>
      </c>
      <c r="E1992">
        <v>23</v>
      </c>
      <c r="F1992">
        <v>112</v>
      </c>
      <c r="G1992">
        <v>26.2</v>
      </c>
      <c r="H1992">
        <v>0.245</v>
      </c>
      <c r="I1992">
        <v>30</v>
      </c>
      <c r="J1992">
        <v>0</v>
      </c>
      <c r="K1992" t="str">
        <f t="shared" si="62"/>
        <v>Middle-Aged</v>
      </c>
      <c r="L1992" t="str">
        <f t="shared" si="63"/>
        <v>Overweight</v>
      </c>
    </row>
    <row r="1993" spans="1:12" x14ac:dyDescent="0.2">
      <c r="A1993">
        <v>1992</v>
      </c>
      <c r="B1993">
        <v>1</v>
      </c>
      <c r="C1993">
        <v>126</v>
      </c>
      <c r="D1993">
        <v>60</v>
      </c>
      <c r="E1993">
        <v>0</v>
      </c>
      <c r="F1993">
        <v>0</v>
      </c>
      <c r="G1993">
        <v>30.1</v>
      </c>
      <c r="H1993">
        <v>0.34899999999999998</v>
      </c>
      <c r="I1993">
        <v>47</v>
      </c>
      <c r="J1993">
        <v>1</v>
      </c>
      <c r="K1993" t="str">
        <f t="shared" si="62"/>
        <v>Senior</v>
      </c>
      <c r="L1993" t="str">
        <f t="shared" si="63"/>
        <v>Obese</v>
      </c>
    </row>
    <row r="1994" spans="1:12" x14ac:dyDescent="0.2">
      <c r="A1994">
        <v>1993</v>
      </c>
      <c r="B1994">
        <v>1</v>
      </c>
      <c r="C1994">
        <v>93</v>
      </c>
      <c r="D1994">
        <v>70</v>
      </c>
      <c r="E1994">
        <v>31</v>
      </c>
      <c r="F1994">
        <v>0</v>
      </c>
      <c r="G1994">
        <v>30.4</v>
      </c>
      <c r="H1994">
        <v>0.315</v>
      </c>
      <c r="I1994">
        <v>23</v>
      </c>
      <c r="J1994">
        <v>0</v>
      </c>
      <c r="K1994" t="str">
        <f t="shared" si="62"/>
        <v>Young</v>
      </c>
      <c r="L1994" t="str">
        <f t="shared" si="63"/>
        <v>Obese</v>
      </c>
    </row>
    <row r="1995" spans="1:12" x14ac:dyDescent="0.2">
      <c r="A1995">
        <v>1994</v>
      </c>
      <c r="B1995">
        <v>14</v>
      </c>
      <c r="C1995">
        <v>100</v>
      </c>
      <c r="D1995">
        <v>78</v>
      </c>
      <c r="E1995">
        <v>25</v>
      </c>
      <c r="F1995">
        <v>184</v>
      </c>
      <c r="G1995">
        <v>36.6</v>
      </c>
      <c r="H1995">
        <v>0.41199999999999998</v>
      </c>
      <c r="I1995">
        <v>46</v>
      </c>
      <c r="J1995">
        <v>1</v>
      </c>
      <c r="K1995" t="str">
        <f t="shared" si="62"/>
        <v>Senior</v>
      </c>
      <c r="L1995" t="str">
        <f t="shared" si="63"/>
        <v>Obese</v>
      </c>
    </row>
    <row r="1996" spans="1:12" x14ac:dyDescent="0.2">
      <c r="A1996">
        <v>1995</v>
      </c>
      <c r="B1996">
        <v>8</v>
      </c>
      <c r="C1996">
        <v>112</v>
      </c>
      <c r="D1996">
        <v>72</v>
      </c>
      <c r="E1996">
        <v>0</v>
      </c>
      <c r="F1996">
        <v>0</v>
      </c>
      <c r="G1996">
        <v>23.6</v>
      </c>
      <c r="H1996">
        <v>0.84</v>
      </c>
      <c r="I1996">
        <v>58</v>
      </c>
      <c r="J1996">
        <v>0</v>
      </c>
      <c r="K1996" t="str">
        <f t="shared" si="62"/>
        <v>Senior</v>
      </c>
      <c r="L1996" t="str">
        <f t="shared" si="63"/>
        <v>Normal</v>
      </c>
    </row>
    <row r="1997" spans="1:12" x14ac:dyDescent="0.2">
      <c r="A1997">
        <v>1996</v>
      </c>
      <c r="B1997">
        <v>0</v>
      </c>
      <c r="C1997">
        <v>167</v>
      </c>
      <c r="D1997">
        <v>121</v>
      </c>
      <c r="E1997">
        <v>0</v>
      </c>
      <c r="F1997">
        <v>0</v>
      </c>
      <c r="G1997">
        <v>32.299999999999997</v>
      </c>
      <c r="H1997">
        <v>0.83899999999999997</v>
      </c>
      <c r="I1997">
        <v>30</v>
      </c>
      <c r="J1997">
        <v>1</v>
      </c>
      <c r="K1997" t="str">
        <f t="shared" si="62"/>
        <v>Middle-Aged</v>
      </c>
      <c r="L1997" t="str">
        <f t="shared" si="63"/>
        <v>Obese</v>
      </c>
    </row>
    <row r="1998" spans="1:12" x14ac:dyDescent="0.2">
      <c r="A1998">
        <v>1997</v>
      </c>
      <c r="B1998">
        <v>2</v>
      </c>
      <c r="C1998">
        <v>144</v>
      </c>
      <c r="D1998">
        <v>58</v>
      </c>
      <c r="E1998">
        <v>33</v>
      </c>
      <c r="F1998">
        <v>135</v>
      </c>
      <c r="G1998">
        <v>31.6</v>
      </c>
      <c r="H1998">
        <v>0.42199999999999999</v>
      </c>
      <c r="I1998">
        <v>25</v>
      </c>
      <c r="J1998">
        <v>1</v>
      </c>
      <c r="K1998" t="str">
        <f t="shared" si="62"/>
        <v>Young</v>
      </c>
      <c r="L1998" t="str">
        <f t="shared" si="63"/>
        <v>Obese</v>
      </c>
    </row>
    <row r="1999" spans="1:12" x14ac:dyDescent="0.2">
      <c r="A1999">
        <v>1998</v>
      </c>
      <c r="B1999">
        <v>5</v>
      </c>
      <c r="C1999">
        <v>77</v>
      </c>
      <c r="D1999">
        <v>82</v>
      </c>
      <c r="E1999">
        <v>41</v>
      </c>
      <c r="F1999">
        <v>42</v>
      </c>
      <c r="G1999">
        <v>35.799999999999997</v>
      </c>
      <c r="H1999">
        <v>0.156</v>
      </c>
      <c r="I1999">
        <v>35</v>
      </c>
      <c r="J1999">
        <v>0</v>
      </c>
      <c r="K1999" t="str">
        <f t="shared" si="62"/>
        <v>Middle-Aged</v>
      </c>
      <c r="L1999" t="str">
        <f t="shared" si="63"/>
        <v>Obese</v>
      </c>
    </row>
    <row r="2000" spans="1:12" x14ac:dyDescent="0.2">
      <c r="A2000">
        <v>1999</v>
      </c>
      <c r="B2000">
        <v>5</v>
      </c>
      <c r="C2000">
        <v>115</v>
      </c>
      <c r="D2000">
        <v>98</v>
      </c>
      <c r="E2000">
        <v>0</v>
      </c>
      <c r="F2000">
        <v>0</v>
      </c>
      <c r="G2000">
        <v>52.9</v>
      </c>
      <c r="H2000">
        <v>0.20899999999999999</v>
      </c>
      <c r="I2000">
        <v>28</v>
      </c>
      <c r="J2000">
        <v>1</v>
      </c>
      <c r="K2000" t="str">
        <f t="shared" si="62"/>
        <v>Young</v>
      </c>
      <c r="L2000" t="str">
        <f t="shared" si="63"/>
        <v>Obese</v>
      </c>
    </row>
    <row r="2001" spans="1:12" x14ac:dyDescent="0.2">
      <c r="A2001">
        <v>2000</v>
      </c>
      <c r="B2001">
        <v>3</v>
      </c>
      <c r="C2001">
        <v>150</v>
      </c>
      <c r="D2001">
        <v>76</v>
      </c>
      <c r="E2001">
        <v>0</v>
      </c>
      <c r="F2001">
        <v>0</v>
      </c>
      <c r="G2001">
        <v>21</v>
      </c>
      <c r="H2001">
        <v>0.20699999999999999</v>
      </c>
      <c r="I2001">
        <v>37</v>
      </c>
      <c r="J2001">
        <v>0</v>
      </c>
      <c r="K2001" t="str">
        <f t="shared" si="62"/>
        <v>Middle-Aged</v>
      </c>
      <c r="L2001" t="str">
        <f t="shared" si="63"/>
        <v>Normal</v>
      </c>
    </row>
    <row r="2002" spans="1:12" x14ac:dyDescent="0.2">
      <c r="A2002">
        <v>2001</v>
      </c>
      <c r="B2002">
        <v>2</v>
      </c>
      <c r="C2002">
        <v>120</v>
      </c>
      <c r="D2002">
        <v>76</v>
      </c>
      <c r="E2002">
        <v>37</v>
      </c>
      <c r="F2002">
        <v>105</v>
      </c>
      <c r="G2002">
        <v>39.700000000000003</v>
      </c>
      <c r="H2002">
        <v>0.215</v>
      </c>
      <c r="I2002">
        <v>29</v>
      </c>
      <c r="J2002">
        <v>0</v>
      </c>
      <c r="K2002" t="str">
        <f t="shared" si="62"/>
        <v>Young</v>
      </c>
      <c r="L2002" t="str">
        <f t="shared" si="63"/>
        <v>Obese</v>
      </c>
    </row>
    <row r="2003" spans="1:12" x14ac:dyDescent="0.2">
      <c r="A2003">
        <v>2002</v>
      </c>
      <c r="B2003">
        <v>10</v>
      </c>
      <c r="C2003">
        <v>161</v>
      </c>
      <c r="D2003">
        <v>68</v>
      </c>
      <c r="E2003">
        <v>23</v>
      </c>
      <c r="F2003">
        <v>132</v>
      </c>
      <c r="G2003">
        <v>25.5</v>
      </c>
      <c r="H2003">
        <v>0.32600000000000001</v>
      </c>
      <c r="I2003">
        <v>47</v>
      </c>
      <c r="J2003">
        <v>1</v>
      </c>
      <c r="K2003" t="str">
        <f t="shared" si="62"/>
        <v>Senior</v>
      </c>
      <c r="L2003" t="str">
        <f t="shared" si="63"/>
        <v>Overweight</v>
      </c>
    </row>
    <row r="2004" spans="1:12" x14ac:dyDescent="0.2">
      <c r="A2004">
        <v>2003</v>
      </c>
      <c r="B2004">
        <v>0</v>
      </c>
      <c r="C2004">
        <v>137</v>
      </c>
      <c r="D2004">
        <v>68</v>
      </c>
      <c r="E2004">
        <v>14</v>
      </c>
      <c r="F2004">
        <v>148</v>
      </c>
      <c r="G2004">
        <v>24.8</v>
      </c>
      <c r="H2004">
        <v>0.14299999999999999</v>
      </c>
      <c r="I2004">
        <v>21</v>
      </c>
      <c r="J2004">
        <v>0</v>
      </c>
      <c r="K2004" t="str">
        <f t="shared" si="62"/>
        <v>Young</v>
      </c>
      <c r="L2004" t="str">
        <f t="shared" si="63"/>
        <v>Normal</v>
      </c>
    </row>
    <row r="2005" spans="1:12" x14ac:dyDescent="0.2">
      <c r="A2005">
        <v>2004</v>
      </c>
      <c r="B2005">
        <v>0</v>
      </c>
      <c r="C2005">
        <v>128</v>
      </c>
      <c r="D2005">
        <v>68</v>
      </c>
      <c r="E2005">
        <v>19</v>
      </c>
      <c r="F2005">
        <v>180</v>
      </c>
      <c r="G2005">
        <v>30.5</v>
      </c>
      <c r="H2005">
        <v>1.391</v>
      </c>
      <c r="I2005">
        <v>25</v>
      </c>
      <c r="J2005">
        <v>1</v>
      </c>
      <c r="K2005" t="str">
        <f t="shared" si="62"/>
        <v>Young</v>
      </c>
      <c r="L2005" t="str">
        <f t="shared" si="63"/>
        <v>Obese</v>
      </c>
    </row>
    <row r="2006" spans="1:12" x14ac:dyDescent="0.2">
      <c r="A2006">
        <v>2005</v>
      </c>
      <c r="B2006">
        <v>2</v>
      </c>
      <c r="C2006">
        <v>124</v>
      </c>
      <c r="D2006">
        <v>68</v>
      </c>
      <c r="E2006">
        <v>28</v>
      </c>
      <c r="F2006">
        <v>205</v>
      </c>
      <c r="G2006">
        <v>32.9</v>
      </c>
      <c r="H2006">
        <v>0.875</v>
      </c>
      <c r="I2006">
        <v>30</v>
      </c>
      <c r="J2006">
        <v>1</v>
      </c>
      <c r="K2006" t="str">
        <f t="shared" si="62"/>
        <v>Middle-Aged</v>
      </c>
      <c r="L2006" t="str">
        <f t="shared" si="63"/>
        <v>Obese</v>
      </c>
    </row>
    <row r="2007" spans="1:12" x14ac:dyDescent="0.2">
      <c r="A2007">
        <v>2006</v>
      </c>
      <c r="B2007">
        <v>6</v>
      </c>
      <c r="C2007">
        <v>80</v>
      </c>
      <c r="D2007">
        <v>66</v>
      </c>
      <c r="E2007">
        <v>30</v>
      </c>
      <c r="F2007">
        <v>0</v>
      </c>
      <c r="G2007">
        <v>26.2</v>
      </c>
      <c r="H2007">
        <v>0.313</v>
      </c>
      <c r="I2007">
        <v>41</v>
      </c>
      <c r="J2007">
        <v>0</v>
      </c>
      <c r="K2007" t="str">
        <f t="shared" si="62"/>
        <v>Middle-Aged</v>
      </c>
      <c r="L2007" t="str">
        <f t="shared" si="63"/>
        <v>Overweight</v>
      </c>
    </row>
    <row r="2008" spans="1:12" x14ac:dyDescent="0.2">
      <c r="A2008">
        <v>2007</v>
      </c>
      <c r="B2008">
        <v>0</v>
      </c>
      <c r="C2008">
        <v>106</v>
      </c>
      <c r="D2008">
        <v>70</v>
      </c>
      <c r="E2008">
        <v>37</v>
      </c>
      <c r="F2008">
        <v>148</v>
      </c>
      <c r="G2008">
        <v>39.4</v>
      </c>
      <c r="H2008">
        <v>0.60499999999999998</v>
      </c>
      <c r="I2008">
        <v>22</v>
      </c>
      <c r="J2008">
        <v>0</v>
      </c>
      <c r="K2008" t="str">
        <f t="shared" si="62"/>
        <v>Young</v>
      </c>
      <c r="L2008" t="str">
        <f t="shared" si="63"/>
        <v>Obese</v>
      </c>
    </row>
    <row r="2009" spans="1:12" x14ac:dyDescent="0.2">
      <c r="A2009">
        <v>2008</v>
      </c>
      <c r="B2009">
        <v>2</v>
      </c>
      <c r="C2009">
        <v>155</v>
      </c>
      <c r="D2009">
        <v>74</v>
      </c>
      <c r="E2009">
        <v>17</v>
      </c>
      <c r="F2009">
        <v>96</v>
      </c>
      <c r="G2009">
        <v>26.6</v>
      </c>
      <c r="H2009">
        <v>0.433</v>
      </c>
      <c r="I2009">
        <v>27</v>
      </c>
      <c r="J2009">
        <v>1</v>
      </c>
      <c r="K2009" t="str">
        <f t="shared" si="62"/>
        <v>Young</v>
      </c>
      <c r="L2009" t="str">
        <f t="shared" si="63"/>
        <v>Overweight</v>
      </c>
    </row>
    <row r="2010" spans="1:12" x14ac:dyDescent="0.2">
      <c r="A2010">
        <v>2009</v>
      </c>
      <c r="B2010">
        <v>3</v>
      </c>
      <c r="C2010">
        <v>113</v>
      </c>
      <c r="D2010">
        <v>50</v>
      </c>
      <c r="E2010">
        <v>10</v>
      </c>
      <c r="F2010">
        <v>85</v>
      </c>
      <c r="G2010">
        <v>29.5</v>
      </c>
      <c r="H2010">
        <v>0.626</v>
      </c>
      <c r="I2010">
        <v>25</v>
      </c>
      <c r="J2010">
        <v>0</v>
      </c>
      <c r="K2010" t="str">
        <f t="shared" si="62"/>
        <v>Young</v>
      </c>
      <c r="L2010" t="str">
        <f t="shared" si="63"/>
        <v>Overweight</v>
      </c>
    </row>
    <row r="2011" spans="1:12" x14ac:dyDescent="0.2">
      <c r="A2011">
        <v>2010</v>
      </c>
      <c r="B2011">
        <v>7</v>
      </c>
      <c r="C2011">
        <v>109</v>
      </c>
      <c r="D2011">
        <v>80</v>
      </c>
      <c r="E2011">
        <v>31</v>
      </c>
      <c r="F2011">
        <v>0</v>
      </c>
      <c r="G2011">
        <v>35.9</v>
      </c>
      <c r="H2011">
        <v>1.127</v>
      </c>
      <c r="I2011">
        <v>43</v>
      </c>
      <c r="J2011">
        <v>1</v>
      </c>
      <c r="K2011" t="str">
        <f t="shared" si="62"/>
        <v>Middle-Aged</v>
      </c>
      <c r="L2011" t="str">
        <f t="shared" si="63"/>
        <v>Obese</v>
      </c>
    </row>
    <row r="2012" spans="1:12" x14ac:dyDescent="0.2">
      <c r="A2012">
        <v>2011</v>
      </c>
      <c r="B2012">
        <v>2</v>
      </c>
      <c r="C2012">
        <v>112</v>
      </c>
      <c r="D2012">
        <v>68</v>
      </c>
      <c r="E2012">
        <v>22</v>
      </c>
      <c r="F2012">
        <v>94</v>
      </c>
      <c r="G2012">
        <v>34.1</v>
      </c>
      <c r="H2012">
        <v>0.315</v>
      </c>
      <c r="I2012">
        <v>26</v>
      </c>
      <c r="J2012">
        <v>0</v>
      </c>
      <c r="K2012" t="str">
        <f t="shared" si="62"/>
        <v>Young</v>
      </c>
      <c r="L2012" t="str">
        <f t="shared" si="63"/>
        <v>Obese</v>
      </c>
    </row>
    <row r="2013" spans="1:12" x14ac:dyDescent="0.2">
      <c r="A2013">
        <v>2012</v>
      </c>
      <c r="B2013">
        <v>3</v>
      </c>
      <c r="C2013">
        <v>99</v>
      </c>
      <c r="D2013">
        <v>80</v>
      </c>
      <c r="E2013">
        <v>11</v>
      </c>
      <c r="F2013">
        <v>64</v>
      </c>
      <c r="G2013">
        <v>19.3</v>
      </c>
      <c r="H2013">
        <v>0.28399999999999997</v>
      </c>
      <c r="I2013">
        <v>30</v>
      </c>
      <c r="J2013">
        <v>0</v>
      </c>
      <c r="K2013" t="str">
        <f t="shared" si="62"/>
        <v>Middle-Aged</v>
      </c>
      <c r="L2013" t="str">
        <f t="shared" si="63"/>
        <v>Normal</v>
      </c>
    </row>
    <row r="2014" spans="1:12" x14ac:dyDescent="0.2">
      <c r="A2014">
        <v>2013</v>
      </c>
      <c r="B2014">
        <v>3</v>
      </c>
      <c r="C2014">
        <v>182</v>
      </c>
      <c r="D2014">
        <v>74</v>
      </c>
      <c r="E2014">
        <v>0</v>
      </c>
      <c r="F2014">
        <v>0</v>
      </c>
      <c r="G2014">
        <v>30.5</v>
      </c>
      <c r="H2014">
        <v>0.34499999999999997</v>
      </c>
      <c r="I2014">
        <v>29</v>
      </c>
      <c r="J2014">
        <v>1</v>
      </c>
      <c r="K2014" t="str">
        <f t="shared" si="62"/>
        <v>Young</v>
      </c>
      <c r="L2014" t="str">
        <f t="shared" si="63"/>
        <v>Obese</v>
      </c>
    </row>
    <row r="2015" spans="1:12" x14ac:dyDescent="0.2">
      <c r="A2015">
        <v>2014</v>
      </c>
      <c r="B2015">
        <v>3</v>
      </c>
      <c r="C2015">
        <v>115</v>
      </c>
      <c r="D2015">
        <v>66</v>
      </c>
      <c r="E2015">
        <v>39</v>
      </c>
      <c r="F2015">
        <v>140</v>
      </c>
      <c r="G2015">
        <v>38.1</v>
      </c>
      <c r="H2015">
        <v>0.15</v>
      </c>
      <c r="I2015">
        <v>28</v>
      </c>
      <c r="J2015">
        <v>0</v>
      </c>
      <c r="K2015" t="str">
        <f t="shared" si="62"/>
        <v>Young</v>
      </c>
      <c r="L2015" t="str">
        <f t="shared" si="63"/>
        <v>Obese</v>
      </c>
    </row>
    <row r="2016" spans="1:12" x14ac:dyDescent="0.2">
      <c r="A2016">
        <v>2015</v>
      </c>
      <c r="B2016">
        <v>6</v>
      </c>
      <c r="C2016">
        <v>194</v>
      </c>
      <c r="D2016">
        <v>78</v>
      </c>
      <c r="E2016">
        <v>0</v>
      </c>
      <c r="F2016">
        <v>0</v>
      </c>
      <c r="G2016">
        <v>23.5</v>
      </c>
      <c r="H2016">
        <v>0.129</v>
      </c>
      <c r="I2016">
        <v>59</v>
      </c>
      <c r="J2016">
        <v>1</v>
      </c>
      <c r="K2016" t="str">
        <f t="shared" si="62"/>
        <v>Senior</v>
      </c>
      <c r="L2016" t="str">
        <f t="shared" si="63"/>
        <v>Normal</v>
      </c>
    </row>
    <row r="2017" spans="1:12" x14ac:dyDescent="0.2">
      <c r="A2017">
        <v>2016</v>
      </c>
      <c r="B2017">
        <v>4</v>
      </c>
      <c r="C2017">
        <v>129</v>
      </c>
      <c r="D2017">
        <v>60</v>
      </c>
      <c r="E2017">
        <v>12</v>
      </c>
      <c r="F2017">
        <v>231</v>
      </c>
      <c r="G2017">
        <v>27.5</v>
      </c>
      <c r="H2017">
        <v>0.52700000000000002</v>
      </c>
      <c r="I2017">
        <v>31</v>
      </c>
      <c r="J2017">
        <v>0</v>
      </c>
      <c r="K2017" t="str">
        <f t="shared" si="62"/>
        <v>Middle-Aged</v>
      </c>
      <c r="L2017" t="str">
        <f t="shared" si="63"/>
        <v>Overweight</v>
      </c>
    </row>
    <row r="2018" spans="1:12" x14ac:dyDescent="0.2">
      <c r="A2018">
        <v>2017</v>
      </c>
      <c r="B2018">
        <v>3</v>
      </c>
      <c r="C2018">
        <v>112</v>
      </c>
      <c r="D2018">
        <v>74</v>
      </c>
      <c r="E2018">
        <v>30</v>
      </c>
      <c r="F2018">
        <v>0</v>
      </c>
      <c r="G2018">
        <v>31.6</v>
      </c>
      <c r="H2018">
        <v>0.19700000000000001</v>
      </c>
      <c r="I2018">
        <v>25</v>
      </c>
      <c r="J2018">
        <v>1</v>
      </c>
      <c r="K2018" t="str">
        <f t="shared" si="62"/>
        <v>Young</v>
      </c>
      <c r="L2018" t="str">
        <f t="shared" si="63"/>
        <v>Obese</v>
      </c>
    </row>
    <row r="2019" spans="1:12" x14ac:dyDescent="0.2">
      <c r="A2019">
        <v>2018</v>
      </c>
      <c r="B2019">
        <v>0</v>
      </c>
      <c r="C2019">
        <v>124</v>
      </c>
      <c r="D2019">
        <v>70</v>
      </c>
      <c r="E2019">
        <v>20</v>
      </c>
      <c r="F2019">
        <v>0</v>
      </c>
      <c r="G2019">
        <v>27.4</v>
      </c>
      <c r="H2019">
        <v>0.254</v>
      </c>
      <c r="I2019">
        <v>36</v>
      </c>
      <c r="J2019">
        <v>1</v>
      </c>
      <c r="K2019" t="str">
        <f t="shared" si="62"/>
        <v>Middle-Aged</v>
      </c>
      <c r="L2019" t="str">
        <f t="shared" si="63"/>
        <v>Overweight</v>
      </c>
    </row>
    <row r="2020" spans="1:12" x14ac:dyDescent="0.2">
      <c r="A2020">
        <v>2019</v>
      </c>
      <c r="B2020">
        <v>13</v>
      </c>
      <c r="C2020">
        <v>152</v>
      </c>
      <c r="D2020">
        <v>90</v>
      </c>
      <c r="E2020">
        <v>33</v>
      </c>
      <c r="F2020">
        <v>29</v>
      </c>
      <c r="G2020">
        <v>26.8</v>
      </c>
      <c r="H2020">
        <v>0.73099999999999998</v>
      </c>
      <c r="I2020">
        <v>43</v>
      </c>
      <c r="J2020">
        <v>1</v>
      </c>
      <c r="K2020" t="str">
        <f t="shared" si="62"/>
        <v>Middle-Aged</v>
      </c>
      <c r="L2020" t="str">
        <f t="shared" si="63"/>
        <v>Overweight</v>
      </c>
    </row>
    <row r="2021" spans="1:12" x14ac:dyDescent="0.2">
      <c r="A2021">
        <v>2020</v>
      </c>
      <c r="B2021">
        <v>2</v>
      </c>
      <c r="C2021">
        <v>112</v>
      </c>
      <c r="D2021">
        <v>75</v>
      </c>
      <c r="E2021">
        <v>32</v>
      </c>
      <c r="F2021">
        <v>0</v>
      </c>
      <c r="G2021">
        <v>35.700000000000003</v>
      </c>
      <c r="H2021">
        <v>0.14799999999999999</v>
      </c>
      <c r="I2021">
        <v>21</v>
      </c>
      <c r="J2021">
        <v>0</v>
      </c>
      <c r="K2021" t="str">
        <f t="shared" si="62"/>
        <v>Young</v>
      </c>
      <c r="L2021" t="str">
        <f t="shared" si="63"/>
        <v>Obese</v>
      </c>
    </row>
    <row r="2022" spans="1:12" x14ac:dyDescent="0.2">
      <c r="A2022">
        <v>2021</v>
      </c>
      <c r="B2022">
        <v>1</v>
      </c>
      <c r="C2022">
        <v>157</v>
      </c>
      <c r="D2022">
        <v>72</v>
      </c>
      <c r="E2022">
        <v>21</v>
      </c>
      <c r="F2022">
        <v>168</v>
      </c>
      <c r="G2022">
        <v>25.6</v>
      </c>
      <c r="H2022">
        <v>0.123</v>
      </c>
      <c r="I2022">
        <v>24</v>
      </c>
      <c r="J2022">
        <v>0</v>
      </c>
      <c r="K2022" t="str">
        <f t="shared" si="62"/>
        <v>Young</v>
      </c>
      <c r="L2022" t="str">
        <f t="shared" si="63"/>
        <v>Overweight</v>
      </c>
    </row>
    <row r="2023" spans="1:12" x14ac:dyDescent="0.2">
      <c r="A2023">
        <v>2022</v>
      </c>
      <c r="B2023">
        <v>1</v>
      </c>
      <c r="C2023">
        <v>122</v>
      </c>
      <c r="D2023">
        <v>64</v>
      </c>
      <c r="E2023">
        <v>32</v>
      </c>
      <c r="F2023">
        <v>156</v>
      </c>
      <c r="G2023">
        <v>35.1</v>
      </c>
      <c r="H2023">
        <v>0.69199999999999995</v>
      </c>
      <c r="I2023">
        <v>30</v>
      </c>
      <c r="J2023">
        <v>1</v>
      </c>
      <c r="K2023" t="str">
        <f t="shared" si="62"/>
        <v>Middle-Aged</v>
      </c>
      <c r="L2023" t="str">
        <f t="shared" si="63"/>
        <v>Obese</v>
      </c>
    </row>
    <row r="2024" spans="1:12" x14ac:dyDescent="0.2">
      <c r="A2024">
        <v>2023</v>
      </c>
      <c r="B2024">
        <v>10</v>
      </c>
      <c r="C2024">
        <v>179</v>
      </c>
      <c r="D2024">
        <v>70</v>
      </c>
      <c r="E2024">
        <v>0</v>
      </c>
      <c r="F2024">
        <v>0</v>
      </c>
      <c r="G2024">
        <v>35.1</v>
      </c>
      <c r="H2024">
        <v>0.2</v>
      </c>
      <c r="I2024">
        <v>37</v>
      </c>
      <c r="J2024">
        <v>0</v>
      </c>
      <c r="K2024" t="str">
        <f t="shared" si="62"/>
        <v>Middle-Aged</v>
      </c>
      <c r="L2024" t="str">
        <f t="shared" si="63"/>
        <v>Obese</v>
      </c>
    </row>
    <row r="2025" spans="1:12" x14ac:dyDescent="0.2">
      <c r="A2025">
        <v>2024</v>
      </c>
      <c r="B2025">
        <v>2</v>
      </c>
      <c r="C2025">
        <v>102</v>
      </c>
      <c r="D2025">
        <v>86</v>
      </c>
      <c r="E2025">
        <v>36</v>
      </c>
      <c r="F2025">
        <v>120</v>
      </c>
      <c r="G2025">
        <v>45.5</v>
      </c>
      <c r="H2025">
        <v>0.127</v>
      </c>
      <c r="I2025">
        <v>23</v>
      </c>
      <c r="J2025">
        <v>1</v>
      </c>
      <c r="K2025" t="str">
        <f t="shared" si="62"/>
        <v>Young</v>
      </c>
      <c r="L2025" t="str">
        <f t="shared" si="63"/>
        <v>Obese</v>
      </c>
    </row>
    <row r="2026" spans="1:12" x14ac:dyDescent="0.2">
      <c r="A2026">
        <v>2025</v>
      </c>
      <c r="B2026">
        <v>6</v>
      </c>
      <c r="C2026">
        <v>93</v>
      </c>
      <c r="D2026">
        <v>50</v>
      </c>
      <c r="E2026">
        <v>30</v>
      </c>
      <c r="F2026">
        <v>64</v>
      </c>
      <c r="G2026">
        <v>28.7</v>
      </c>
      <c r="H2026">
        <v>0.35599999999999998</v>
      </c>
      <c r="I2026">
        <v>23</v>
      </c>
      <c r="J2026">
        <v>0</v>
      </c>
      <c r="K2026" t="str">
        <f t="shared" si="62"/>
        <v>Young</v>
      </c>
      <c r="L2026" t="str">
        <f t="shared" si="63"/>
        <v>Overweight</v>
      </c>
    </row>
    <row r="2027" spans="1:12" x14ac:dyDescent="0.2">
      <c r="A2027">
        <v>2026</v>
      </c>
      <c r="B2027">
        <v>1</v>
      </c>
      <c r="C2027">
        <v>122</v>
      </c>
      <c r="D2027">
        <v>90</v>
      </c>
      <c r="E2027">
        <v>51</v>
      </c>
      <c r="F2027">
        <v>220</v>
      </c>
      <c r="G2027">
        <v>49.7</v>
      </c>
      <c r="H2027">
        <v>0.32500000000000001</v>
      </c>
      <c r="I2027">
        <v>31</v>
      </c>
      <c r="J2027">
        <v>1</v>
      </c>
      <c r="K2027" t="str">
        <f t="shared" si="62"/>
        <v>Middle-Aged</v>
      </c>
      <c r="L2027" t="str">
        <f t="shared" si="63"/>
        <v>Obese</v>
      </c>
    </row>
    <row r="2028" spans="1:12" x14ac:dyDescent="0.2">
      <c r="A2028">
        <v>2027</v>
      </c>
      <c r="B2028">
        <v>1</v>
      </c>
      <c r="C2028">
        <v>163</v>
      </c>
      <c r="D2028">
        <v>72</v>
      </c>
      <c r="E2028">
        <v>0</v>
      </c>
      <c r="F2028">
        <v>0</v>
      </c>
      <c r="G2028">
        <v>39</v>
      </c>
      <c r="H2028">
        <v>1.222</v>
      </c>
      <c r="I2028">
        <v>33</v>
      </c>
      <c r="J2028">
        <v>1</v>
      </c>
      <c r="K2028" t="str">
        <f t="shared" si="62"/>
        <v>Middle-Aged</v>
      </c>
      <c r="L2028" t="str">
        <f t="shared" si="63"/>
        <v>Obese</v>
      </c>
    </row>
    <row r="2029" spans="1:12" x14ac:dyDescent="0.2">
      <c r="A2029">
        <v>2028</v>
      </c>
      <c r="B2029">
        <v>1</v>
      </c>
      <c r="C2029">
        <v>151</v>
      </c>
      <c r="D2029">
        <v>60</v>
      </c>
      <c r="E2029">
        <v>0</v>
      </c>
      <c r="F2029">
        <v>0</v>
      </c>
      <c r="G2029">
        <v>26.1</v>
      </c>
      <c r="H2029">
        <v>0.17899999999999999</v>
      </c>
      <c r="I2029">
        <v>22</v>
      </c>
      <c r="J2029">
        <v>0</v>
      </c>
      <c r="K2029" t="str">
        <f t="shared" si="62"/>
        <v>Young</v>
      </c>
      <c r="L2029" t="str">
        <f t="shared" si="63"/>
        <v>Overweight</v>
      </c>
    </row>
    <row r="2030" spans="1:12" x14ac:dyDescent="0.2">
      <c r="A2030">
        <v>2029</v>
      </c>
      <c r="B2030">
        <v>0</v>
      </c>
      <c r="C2030">
        <v>125</v>
      </c>
      <c r="D2030">
        <v>96</v>
      </c>
      <c r="E2030">
        <v>0</v>
      </c>
      <c r="F2030">
        <v>0</v>
      </c>
      <c r="G2030">
        <v>22.5</v>
      </c>
      <c r="H2030">
        <v>0.26200000000000001</v>
      </c>
      <c r="I2030">
        <v>21</v>
      </c>
      <c r="J2030">
        <v>0</v>
      </c>
      <c r="K2030" t="str">
        <f t="shared" si="62"/>
        <v>Young</v>
      </c>
      <c r="L2030" t="str">
        <f t="shared" si="63"/>
        <v>Normal</v>
      </c>
    </row>
    <row r="2031" spans="1:12" x14ac:dyDescent="0.2">
      <c r="A2031">
        <v>2030</v>
      </c>
      <c r="B2031">
        <v>1</v>
      </c>
      <c r="C2031">
        <v>81</v>
      </c>
      <c r="D2031">
        <v>72</v>
      </c>
      <c r="E2031">
        <v>18</v>
      </c>
      <c r="F2031">
        <v>40</v>
      </c>
      <c r="G2031">
        <v>26.6</v>
      </c>
      <c r="H2031">
        <v>0.28299999999999997</v>
      </c>
      <c r="I2031">
        <v>24</v>
      </c>
      <c r="J2031">
        <v>0</v>
      </c>
      <c r="K2031" t="str">
        <f t="shared" si="62"/>
        <v>Young</v>
      </c>
      <c r="L2031" t="str">
        <f t="shared" si="63"/>
        <v>Overweight</v>
      </c>
    </row>
    <row r="2032" spans="1:12" x14ac:dyDescent="0.2">
      <c r="A2032">
        <v>2031</v>
      </c>
      <c r="B2032">
        <v>2</v>
      </c>
      <c r="C2032">
        <v>85</v>
      </c>
      <c r="D2032">
        <v>65</v>
      </c>
      <c r="E2032">
        <v>0</v>
      </c>
      <c r="F2032">
        <v>0</v>
      </c>
      <c r="G2032">
        <v>39.6</v>
      </c>
      <c r="H2032">
        <v>0.93</v>
      </c>
      <c r="I2032">
        <v>27</v>
      </c>
      <c r="J2032">
        <v>0</v>
      </c>
      <c r="K2032" t="str">
        <f t="shared" si="62"/>
        <v>Young</v>
      </c>
      <c r="L2032" t="str">
        <f t="shared" si="63"/>
        <v>Obese</v>
      </c>
    </row>
    <row r="2033" spans="1:12" x14ac:dyDescent="0.2">
      <c r="A2033">
        <v>2032</v>
      </c>
      <c r="B2033">
        <v>1</v>
      </c>
      <c r="C2033">
        <v>126</v>
      </c>
      <c r="D2033">
        <v>56</v>
      </c>
      <c r="E2033">
        <v>29</v>
      </c>
      <c r="F2033">
        <v>152</v>
      </c>
      <c r="G2033">
        <v>28.7</v>
      </c>
      <c r="H2033">
        <v>0.80100000000000005</v>
      </c>
      <c r="I2033">
        <v>21</v>
      </c>
      <c r="J2033">
        <v>0</v>
      </c>
      <c r="K2033" t="str">
        <f t="shared" si="62"/>
        <v>Young</v>
      </c>
      <c r="L2033" t="str">
        <f t="shared" si="63"/>
        <v>Overweight</v>
      </c>
    </row>
    <row r="2034" spans="1:12" x14ac:dyDescent="0.2">
      <c r="A2034">
        <v>2033</v>
      </c>
      <c r="B2034">
        <v>1</v>
      </c>
      <c r="C2034">
        <v>96</v>
      </c>
      <c r="D2034">
        <v>122</v>
      </c>
      <c r="E2034">
        <v>0</v>
      </c>
      <c r="F2034">
        <v>0</v>
      </c>
      <c r="G2034">
        <v>22.4</v>
      </c>
      <c r="H2034">
        <v>0.20699999999999999</v>
      </c>
      <c r="I2034">
        <v>27</v>
      </c>
      <c r="J2034">
        <v>0</v>
      </c>
      <c r="K2034" t="str">
        <f t="shared" si="62"/>
        <v>Young</v>
      </c>
      <c r="L2034" t="str">
        <f t="shared" si="63"/>
        <v>Normal</v>
      </c>
    </row>
    <row r="2035" spans="1:12" x14ac:dyDescent="0.2">
      <c r="A2035">
        <v>2034</v>
      </c>
      <c r="B2035">
        <v>4</v>
      </c>
      <c r="C2035">
        <v>144</v>
      </c>
      <c r="D2035">
        <v>58</v>
      </c>
      <c r="E2035">
        <v>28</v>
      </c>
      <c r="F2035">
        <v>140</v>
      </c>
      <c r="G2035">
        <v>29.5</v>
      </c>
      <c r="H2035">
        <v>0.28699999999999998</v>
      </c>
      <c r="I2035">
        <v>37</v>
      </c>
      <c r="J2035">
        <v>0</v>
      </c>
      <c r="K2035" t="str">
        <f t="shared" si="62"/>
        <v>Middle-Aged</v>
      </c>
      <c r="L2035" t="str">
        <f t="shared" si="63"/>
        <v>Overweight</v>
      </c>
    </row>
    <row r="2036" spans="1:12" x14ac:dyDescent="0.2">
      <c r="A2036">
        <v>2035</v>
      </c>
      <c r="B2036">
        <v>3</v>
      </c>
      <c r="C2036">
        <v>83</v>
      </c>
      <c r="D2036">
        <v>58</v>
      </c>
      <c r="E2036">
        <v>31</v>
      </c>
      <c r="F2036">
        <v>18</v>
      </c>
      <c r="G2036">
        <v>34.299999999999997</v>
      </c>
      <c r="H2036">
        <v>0.33600000000000002</v>
      </c>
      <c r="I2036">
        <v>25</v>
      </c>
      <c r="J2036">
        <v>0</v>
      </c>
      <c r="K2036" t="str">
        <f t="shared" si="62"/>
        <v>Young</v>
      </c>
      <c r="L2036" t="str">
        <f t="shared" si="63"/>
        <v>Obese</v>
      </c>
    </row>
    <row r="2037" spans="1:12" x14ac:dyDescent="0.2">
      <c r="A2037">
        <v>2036</v>
      </c>
      <c r="B2037">
        <v>0</v>
      </c>
      <c r="C2037">
        <v>95</v>
      </c>
      <c r="D2037">
        <v>85</v>
      </c>
      <c r="E2037">
        <v>25</v>
      </c>
      <c r="F2037">
        <v>36</v>
      </c>
      <c r="G2037">
        <v>37.4</v>
      </c>
      <c r="H2037">
        <v>0.247</v>
      </c>
      <c r="I2037">
        <v>24</v>
      </c>
      <c r="J2037">
        <v>1</v>
      </c>
      <c r="K2037" t="str">
        <f t="shared" si="62"/>
        <v>Young</v>
      </c>
      <c r="L2037" t="str">
        <f t="shared" si="63"/>
        <v>Obese</v>
      </c>
    </row>
    <row r="2038" spans="1:12" x14ac:dyDescent="0.2">
      <c r="A2038">
        <v>2037</v>
      </c>
      <c r="B2038">
        <v>3</v>
      </c>
      <c r="C2038">
        <v>171</v>
      </c>
      <c r="D2038">
        <v>72</v>
      </c>
      <c r="E2038">
        <v>33</v>
      </c>
      <c r="F2038">
        <v>135</v>
      </c>
      <c r="G2038">
        <v>33.299999999999997</v>
      </c>
      <c r="H2038">
        <v>0.19900000000000001</v>
      </c>
      <c r="I2038">
        <v>24</v>
      </c>
      <c r="J2038">
        <v>1</v>
      </c>
      <c r="K2038" t="str">
        <f t="shared" si="62"/>
        <v>Young</v>
      </c>
      <c r="L2038" t="str">
        <f t="shared" si="63"/>
        <v>Obese</v>
      </c>
    </row>
    <row r="2039" spans="1:12" x14ac:dyDescent="0.2">
      <c r="A2039">
        <v>2038</v>
      </c>
      <c r="B2039">
        <v>8</v>
      </c>
      <c r="C2039">
        <v>155</v>
      </c>
      <c r="D2039">
        <v>62</v>
      </c>
      <c r="E2039">
        <v>26</v>
      </c>
      <c r="F2039">
        <v>495</v>
      </c>
      <c r="G2039">
        <v>34</v>
      </c>
      <c r="H2039">
        <v>0.54300000000000004</v>
      </c>
      <c r="I2039">
        <v>46</v>
      </c>
      <c r="J2039">
        <v>1</v>
      </c>
      <c r="K2039" t="str">
        <f t="shared" si="62"/>
        <v>Senior</v>
      </c>
      <c r="L2039" t="str">
        <f t="shared" si="63"/>
        <v>Obese</v>
      </c>
    </row>
    <row r="2040" spans="1:12" x14ac:dyDescent="0.2">
      <c r="A2040">
        <v>2039</v>
      </c>
      <c r="B2040">
        <v>1</v>
      </c>
      <c r="C2040">
        <v>89</v>
      </c>
      <c r="D2040">
        <v>76</v>
      </c>
      <c r="E2040">
        <v>34</v>
      </c>
      <c r="F2040">
        <v>37</v>
      </c>
      <c r="G2040">
        <v>31.2</v>
      </c>
      <c r="H2040">
        <v>0.192</v>
      </c>
      <c r="I2040">
        <v>23</v>
      </c>
      <c r="J2040">
        <v>0</v>
      </c>
      <c r="K2040" t="str">
        <f t="shared" si="62"/>
        <v>Young</v>
      </c>
      <c r="L2040" t="str">
        <f t="shared" si="63"/>
        <v>Obese</v>
      </c>
    </row>
    <row r="2041" spans="1:12" x14ac:dyDescent="0.2">
      <c r="A2041">
        <v>2040</v>
      </c>
      <c r="B2041">
        <v>4</v>
      </c>
      <c r="C2041">
        <v>76</v>
      </c>
      <c r="D2041">
        <v>62</v>
      </c>
      <c r="E2041">
        <v>0</v>
      </c>
      <c r="F2041">
        <v>0</v>
      </c>
      <c r="G2041">
        <v>34</v>
      </c>
      <c r="H2041">
        <v>0.39100000000000001</v>
      </c>
      <c r="I2041">
        <v>25</v>
      </c>
      <c r="J2041">
        <v>0</v>
      </c>
      <c r="K2041" t="str">
        <f t="shared" si="62"/>
        <v>Young</v>
      </c>
      <c r="L2041" t="str">
        <f t="shared" si="63"/>
        <v>Obese</v>
      </c>
    </row>
    <row r="2042" spans="1:12" x14ac:dyDescent="0.2">
      <c r="A2042">
        <v>2041</v>
      </c>
      <c r="B2042">
        <v>7</v>
      </c>
      <c r="C2042">
        <v>160</v>
      </c>
      <c r="D2042">
        <v>54</v>
      </c>
      <c r="E2042">
        <v>32</v>
      </c>
      <c r="F2042">
        <v>175</v>
      </c>
      <c r="G2042">
        <v>30.5</v>
      </c>
      <c r="H2042">
        <v>0.58799999999999997</v>
      </c>
      <c r="I2042">
        <v>39</v>
      </c>
      <c r="J2042">
        <v>1</v>
      </c>
      <c r="K2042" t="str">
        <f t="shared" si="62"/>
        <v>Middle-Aged</v>
      </c>
      <c r="L2042" t="str">
        <f t="shared" si="63"/>
        <v>Obese</v>
      </c>
    </row>
    <row r="2043" spans="1:12" x14ac:dyDescent="0.2">
      <c r="A2043">
        <v>2042</v>
      </c>
      <c r="B2043">
        <v>4</v>
      </c>
      <c r="C2043">
        <v>146</v>
      </c>
      <c r="D2043">
        <v>92</v>
      </c>
      <c r="E2043">
        <v>0</v>
      </c>
      <c r="F2043">
        <v>0</v>
      </c>
      <c r="G2043">
        <v>31.2</v>
      </c>
      <c r="H2043">
        <v>0.53900000000000003</v>
      </c>
      <c r="I2043">
        <v>61</v>
      </c>
      <c r="J2043">
        <v>1</v>
      </c>
      <c r="K2043" t="str">
        <f t="shared" si="62"/>
        <v>Senior</v>
      </c>
      <c r="L2043" t="str">
        <f t="shared" si="63"/>
        <v>Obese</v>
      </c>
    </row>
    <row r="2044" spans="1:12" x14ac:dyDescent="0.2">
      <c r="A2044">
        <v>2043</v>
      </c>
      <c r="B2044">
        <v>5</v>
      </c>
      <c r="C2044">
        <v>124</v>
      </c>
      <c r="D2044">
        <v>74</v>
      </c>
      <c r="E2044">
        <v>0</v>
      </c>
      <c r="F2044">
        <v>0</v>
      </c>
      <c r="G2044">
        <v>34</v>
      </c>
      <c r="H2044">
        <v>0.22</v>
      </c>
      <c r="I2044">
        <v>38</v>
      </c>
      <c r="J2044">
        <v>1</v>
      </c>
      <c r="K2044" t="str">
        <f t="shared" si="62"/>
        <v>Middle-Aged</v>
      </c>
      <c r="L2044" t="str">
        <f t="shared" si="63"/>
        <v>Obese</v>
      </c>
    </row>
    <row r="2045" spans="1:12" x14ac:dyDescent="0.2">
      <c r="A2045">
        <v>2044</v>
      </c>
      <c r="B2045">
        <v>5</v>
      </c>
      <c r="C2045">
        <v>78</v>
      </c>
      <c r="D2045">
        <v>48</v>
      </c>
      <c r="E2045">
        <v>0</v>
      </c>
      <c r="F2045">
        <v>0</v>
      </c>
      <c r="G2045">
        <v>33.700000000000003</v>
      </c>
      <c r="H2045">
        <v>0.65400000000000003</v>
      </c>
      <c r="I2045">
        <v>25</v>
      </c>
      <c r="J2045">
        <v>0</v>
      </c>
      <c r="K2045" t="str">
        <f t="shared" si="62"/>
        <v>Young</v>
      </c>
      <c r="L2045" t="str">
        <f t="shared" si="63"/>
        <v>Obese</v>
      </c>
    </row>
    <row r="2046" spans="1:12" x14ac:dyDescent="0.2">
      <c r="A2046">
        <v>2045</v>
      </c>
      <c r="B2046">
        <v>4</v>
      </c>
      <c r="C2046">
        <v>97</v>
      </c>
      <c r="D2046">
        <v>60</v>
      </c>
      <c r="E2046">
        <v>23</v>
      </c>
      <c r="F2046">
        <v>0</v>
      </c>
      <c r="G2046">
        <v>28.2</v>
      </c>
      <c r="H2046">
        <v>0.443</v>
      </c>
      <c r="I2046">
        <v>22</v>
      </c>
      <c r="J2046">
        <v>0</v>
      </c>
      <c r="K2046" t="str">
        <f t="shared" si="62"/>
        <v>Young</v>
      </c>
      <c r="L2046" t="str">
        <f t="shared" si="63"/>
        <v>Overweight</v>
      </c>
    </row>
    <row r="2047" spans="1:12" x14ac:dyDescent="0.2">
      <c r="A2047">
        <v>2046</v>
      </c>
      <c r="B2047">
        <v>4</v>
      </c>
      <c r="C2047">
        <v>99</v>
      </c>
      <c r="D2047">
        <v>76</v>
      </c>
      <c r="E2047">
        <v>15</v>
      </c>
      <c r="F2047">
        <v>51</v>
      </c>
      <c r="G2047">
        <v>23.2</v>
      </c>
      <c r="H2047">
        <v>0.223</v>
      </c>
      <c r="I2047">
        <v>21</v>
      </c>
      <c r="J2047">
        <v>0</v>
      </c>
      <c r="K2047" t="str">
        <f t="shared" si="62"/>
        <v>Young</v>
      </c>
      <c r="L2047" t="str">
        <f t="shared" si="63"/>
        <v>Normal</v>
      </c>
    </row>
    <row r="2048" spans="1:12" x14ac:dyDescent="0.2">
      <c r="A2048">
        <v>2047</v>
      </c>
      <c r="B2048">
        <v>0</v>
      </c>
      <c r="C2048">
        <v>162</v>
      </c>
      <c r="D2048">
        <v>76</v>
      </c>
      <c r="E2048">
        <v>56</v>
      </c>
      <c r="F2048">
        <v>100</v>
      </c>
      <c r="G2048">
        <v>53.2</v>
      </c>
      <c r="H2048">
        <v>0.75900000000000001</v>
      </c>
      <c r="I2048">
        <v>25</v>
      </c>
      <c r="J2048">
        <v>1</v>
      </c>
      <c r="K2048" t="str">
        <f t="shared" si="62"/>
        <v>Young</v>
      </c>
      <c r="L2048" t="str">
        <f t="shared" si="63"/>
        <v>Obese</v>
      </c>
    </row>
    <row r="2049" spans="1:12" x14ac:dyDescent="0.2">
      <c r="A2049">
        <v>2048</v>
      </c>
      <c r="B2049">
        <v>6</v>
      </c>
      <c r="C2049">
        <v>111</v>
      </c>
      <c r="D2049">
        <v>64</v>
      </c>
      <c r="E2049">
        <v>39</v>
      </c>
      <c r="F2049">
        <v>0</v>
      </c>
      <c r="G2049">
        <v>34.200000000000003</v>
      </c>
      <c r="H2049">
        <v>0.26</v>
      </c>
      <c r="I2049">
        <v>24</v>
      </c>
      <c r="J2049">
        <v>0</v>
      </c>
      <c r="K2049" t="str">
        <f t="shared" si="62"/>
        <v>Young</v>
      </c>
      <c r="L2049" t="str">
        <f t="shared" si="63"/>
        <v>Obese</v>
      </c>
    </row>
    <row r="2050" spans="1:12" x14ac:dyDescent="0.2">
      <c r="A2050">
        <v>2049</v>
      </c>
      <c r="B2050">
        <v>2</v>
      </c>
      <c r="C2050">
        <v>107</v>
      </c>
      <c r="D2050">
        <v>74</v>
      </c>
      <c r="E2050">
        <v>30</v>
      </c>
      <c r="F2050">
        <v>100</v>
      </c>
      <c r="G2050">
        <v>33.6</v>
      </c>
      <c r="H2050">
        <v>0.40400000000000003</v>
      </c>
      <c r="I2050">
        <v>23</v>
      </c>
      <c r="J2050">
        <v>0</v>
      </c>
      <c r="K2050" t="str">
        <f t="shared" si="62"/>
        <v>Young</v>
      </c>
      <c r="L2050" t="str">
        <f t="shared" si="63"/>
        <v>Obese</v>
      </c>
    </row>
    <row r="2051" spans="1:12" x14ac:dyDescent="0.2">
      <c r="A2051">
        <v>2050</v>
      </c>
      <c r="B2051">
        <v>5</v>
      </c>
      <c r="C2051">
        <v>132</v>
      </c>
      <c r="D2051">
        <v>80</v>
      </c>
      <c r="E2051">
        <v>0</v>
      </c>
      <c r="F2051">
        <v>0</v>
      </c>
      <c r="G2051">
        <v>26.8</v>
      </c>
      <c r="H2051">
        <v>0.186</v>
      </c>
      <c r="I2051">
        <v>69</v>
      </c>
      <c r="J2051">
        <v>0</v>
      </c>
      <c r="K2051" t="str">
        <f t="shared" ref="K2051:K2114" si="64">IF(I2051&lt;30, "Young", IF( I2051&lt;45, "Middle-Aged", "Senior"))</f>
        <v>Senior</v>
      </c>
      <c r="L2051" t="str">
        <f t="shared" ref="L2051:L2114" si="65">IF(G2051&lt;18.5, "Underweight", IF(G2051&lt;25, "Normal", IF(G2051&lt;30, "Overweight", "Obese")))</f>
        <v>Overweight</v>
      </c>
    </row>
    <row r="2052" spans="1:12" x14ac:dyDescent="0.2">
      <c r="A2052">
        <v>2051</v>
      </c>
      <c r="B2052">
        <v>0</v>
      </c>
      <c r="C2052">
        <v>113</v>
      </c>
      <c r="D2052">
        <v>76</v>
      </c>
      <c r="E2052">
        <v>0</v>
      </c>
      <c r="F2052">
        <v>0</v>
      </c>
      <c r="G2052">
        <v>33.299999999999997</v>
      </c>
      <c r="H2052">
        <v>0.27800000000000002</v>
      </c>
      <c r="I2052">
        <v>23</v>
      </c>
      <c r="J2052">
        <v>1</v>
      </c>
      <c r="K2052" t="str">
        <f t="shared" si="64"/>
        <v>Young</v>
      </c>
      <c r="L2052" t="str">
        <f t="shared" si="65"/>
        <v>Obese</v>
      </c>
    </row>
    <row r="2053" spans="1:12" x14ac:dyDescent="0.2">
      <c r="A2053">
        <v>2052</v>
      </c>
      <c r="B2053">
        <v>1</v>
      </c>
      <c r="C2053">
        <v>88</v>
      </c>
      <c r="D2053">
        <v>30</v>
      </c>
      <c r="E2053">
        <v>42</v>
      </c>
      <c r="F2053">
        <v>99</v>
      </c>
      <c r="G2053">
        <v>55</v>
      </c>
      <c r="H2053">
        <v>0.496</v>
      </c>
      <c r="I2053">
        <v>26</v>
      </c>
      <c r="J2053">
        <v>1</v>
      </c>
      <c r="K2053" t="str">
        <f t="shared" si="64"/>
        <v>Young</v>
      </c>
      <c r="L2053" t="str">
        <f t="shared" si="65"/>
        <v>Obese</v>
      </c>
    </row>
    <row r="2054" spans="1:12" x14ac:dyDescent="0.2">
      <c r="A2054">
        <v>2053</v>
      </c>
      <c r="B2054">
        <v>3</v>
      </c>
      <c r="C2054">
        <v>120</v>
      </c>
      <c r="D2054">
        <v>70</v>
      </c>
      <c r="E2054">
        <v>30</v>
      </c>
      <c r="F2054">
        <v>135</v>
      </c>
      <c r="G2054">
        <v>42.9</v>
      </c>
      <c r="H2054">
        <v>0.45200000000000001</v>
      </c>
      <c r="I2054">
        <v>30</v>
      </c>
      <c r="J2054">
        <v>0</v>
      </c>
      <c r="K2054" t="str">
        <f t="shared" si="64"/>
        <v>Middle-Aged</v>
      </c>
      <c r="L2054" t="str">
        <f t="shared" si="65"/>
        <v>Obese</v>
      </c>
    </row>
    <row r="2055" spans="1:12" x14ac:dyDescent="0.2">
      <c r="A2055">
        <v>2054</v>
      </c>
      <c r="B2055">
        <v>1</v>
      </c>
      <c r="C2055">
        <v>118</v>
      </c>
      <c r="D2055">
        <v>58</v>
      </c>
      <c r="E2055">
        <v>36</v>
      </c>
      <c r="F2055">
        <v>94</v>
      </c>
      <c r="G2055">
        <v>33.299999999999997</v>
      </c>
      <c r="H2055">
        <v>0.26100000000000001</v>
      </c>
      <c r="I2055">
        <v>23</v>
      </c>
      <c r="J2055">
        <v>0</v>
      </c>
      <c r="K2055" t="str">
        <f t="shared" si="64"/>
        <v>Young</v>
      </c>
      <c r="L2055" t="str">
        <f t="shared" si="65"/>
        <v>Obese</v>
      </c>
    </row>
    <row r="2056" spans="1:12" x14ac:dyDescent="0.2">
      <c r="A2056">
        <v>2055</v>
      </c>
      <c r="B2056">
        <v>1</v>
      </c>
      <c r="C2056">
        <v>117</v>
      </c>
      <c r="D2056">
        <v>88</v>
      </c>
      <c r="E2056">
        <v>24</v>
      </c>
      <c r="F2056">
        <v>145</v>
      </c>
      <c r="G2056">
        <v>34.5</v>
      </c>
      <c r="H2056">
        <v>0.40300000000000002</v>
      </c>
      <c r="I2056">
        <v>40</v>
      </c>
      <c r="J2056">
        <v>1</v>
      </c>
      <c r="K2056" t="str">
        <f t="shared" si="64"/>
        <v>Middle-Aged</v>
      </c>
      <c r="L2056" t="str">
        <f t="shared" si="65"/>
        <v>Obese</v>
      </c>
    </row>
    <row r="2057" spans="1:12" x14ac:dyDescent="0.2">
      <c r="A2057">
        <v>2056</v>
      </c>
      <c r="B2057">
        <v>0</v>
      </c>
      <c r="C2057">
        <v>105</v>
      </c>
      <c r="D2057">
        <v>84</v>
      </c>
      <c r="E2057">
        <v>0</v>
      </c>
      <c r="F2057">
        <v>0</v>
      </c>
      <c r="G2057">
        <v>27.9</v>
      </c>
      <c r="H2057">
        <v>0.74099999999999999</v>
      </c>
      <c r="I2057">
        <v>62</v>
      </c>
      <c r="J2057">
        <v>1</v>
      </c>
      <c r="K2057" t="str">
        <f t="shared" si="64"/>
        <v>Senior</v>
      </c>
      <c r="L2057" t="str">
        <f t="shared" si="65"/>
        <v>Overweight</v>
      </c>
    </row>
    <row r="2058" spans="1:12" x14ac:dyDescent="0.2">
      <c r="A2058">
        <v>2057</v>
      </c>
      <c r="B2058">
        <v>4</v>
      </c>
      <c r="C2058">
        <v>173</v>
      </c>
      <c r="D2058">
        <v>70</v>
      </c>
      <c r="E2058">
        <v>14</v>
      </c>
      <c r="F2058">
        <v>168</v>
      </c>
      <c r="G2058">
        <v>29.7</v>
      </c>
      <c r="H2058">
        <v>0.36099999999999999</v>
      </c>
      <c r="I2058">
        <v>33</v>
      </c>
      <c r="J2058">
        <v>1</v>
      </c>
      <c r="K2058" t="str">
        <f t="shared" si="64"/>
        <v>Middle-Aged</v>
      </c>
      <c r="L2058" t="str">
        <f t="shared" si="65"/>
        <v>Overweight</v>
      </c>
    </row>
    <row r="2059" spans="1:12" x14ac:dyDescent="0.2">
      <c r="A2059">
        <v>2058</v>
      </c>
      <c r="B2059">
        <v>9</v>
      </c>
      <c r="C2059">
        <v>122</v>
      </c>
      <c r="D2059">
        <v>56</v>
      </c>
      <c r="E2059">
        <v>0</v>
      </c>
      <c r="F2059">
        <v>0</v>
      </c>
      <c r="G2059">
        <v>33.299999999999997</v>
      </c>
      <c r="H2059">
        <v>1.1140000000000001</v>
      </c>
      <c r="I2059">
        <v>33</v>
      </c>
      <c r="J2059">
        <v>1</v>
      </c>
      <c r="K2059" t="str">
        <f t="shared" si="64"/>
        <v>Middle-Aged</v>
      </c>
      <c r="L2059" t="str">
        <f t="shared" si="65"/>
        <v>Obese</v>
      </c>
    </row>
    <row r="2060" spans="1:12" x14ac:dyDescent="0.2">
      <c r="A2060">
        <v>2059</v>
      </c>
      <c r="B2060">
        <v>3</v>
      </c>
      <c r="C2060">
        <v>170</v>
      </c>
      <c r="D2060">
        <v>64</v>
      </c>
      <c r="E2060">
        <v>37</v>
      </c>
      <c r="F2060">
        <v>225</v>
      </c>
      <c r="G2060">
        <v>34.5</v>
      </c>
      <c r="H2060">
        <v>0.35599999999999998</v>
      </c>
      <c r="I2060">
        <v>30</v>
      </c>
      <c r="J2060">
        <v>1</v>
      </c>
      <c r="K2060" t="str">
        <f t="shared" si="64"/>
        <v>Middle-Aged</v>
      </c>
      <c r="L2060" t="str">
        <f t="shared" si="65"/>
        <v>Obese</v>
      </c>
    </row>
    <row r="2061" spans="1:12" x14ac:dyDescent="0.2">
      <c r="A2061">
        <v>2060</v>
      </c>
      <c r="B2061">
        <v>8</v>
      </c>
      <c r="C2061">
        <v>84</v>
      </c>
      <c r="D2061">
        <v>74</v>
      </c>
      <c r="E2061">
        <v>31</v>
      </c>
      <c r="F2061">
        <v>0</v>
      </c>
      <c r="G2061">
        <v>38.299999999999997</v>
      </c>
      <c r="H2061">
        <v>0.45700000000000002</v>
      </c>
      <c r="I2061">
        <v>39</v>
      </c>
      <c r="J2061">
        <v>0</v>
      </c>
      <c r="K2061" t="str">
        <f t="shared" si="64"/>
        <v>Middle-Aged</v>
      </c>
      <c r="L2061" t="str">
        <f t="shared" si="65"/>
        <v>Obese</v>
      </c>
    </row>
    <row r="2062" spans="1:12" x14ac:dyDescent="0.2">
      <c r="A2062">
        <v>2061</v>
      </c>
      <c r="B2062">
        <v>2</v>
      </c>
      <c r="C2062">
        <v>96</v>
      </c>
      <c r="D2062">
        <v>68</v>
      </c>
      <c r="E2062">
        <v>13</v>
      </c>
      <c r="F2062">
        <v>49</v>
      </c>
      <c r="G2062">
        <v>21.1</v>
      </c>
      <c r="H2062">
        <v>0.64700000000000002</v>
      </c>
      <c r="I2062">
        <v>26</v>
      </c>
      <c r="J2062">
        <v>0</v>
      </c>
      <c r="K2062" t="str">
        <f t="shared" si="64"/>
        <v>Young</v>
      </c>
      <c r="L2062" t="str">
        <f t="shared" si="65"/>
        <v>Normal</v>
      </c>
    </row>
    <row r="2063" spans="1:12" x14ac:dyDescent="0.2">
      <c r="A2063">
        <v>2062</v>
      </c>
      <c r="B2063">
        <v>2</v>
      </c>
      <c r="C2063">
        <v>125</v>
      </c>
      <c r="D2063">
        <v>60</v>
      </c>
      <c r="E2063">
        <v>20</v>
      </c>
      <c r="F2063">
        <v>140</v>
      </c>
      <c r="G2063">
        <v>33.799999999999997</v>
      </c>
      <c r="H2063">
        <v>8.7999999999999995E-2</v>
      </c>
      <c r="I2063">
        <v>31</v>
      </c>
      <c r="J2063">
        <v>0</v>
      </c>
      <c r="K2063" t="str">
        <f t="shared" si="64"/>
        <v>Middle-Aged</v>
      </c>
      <c r="L2063" t="str">
        <f t="shared" si="65"/>
        <v>Obese</v>
      </c>
    </row>
    <row r="2064" spans="1:12" x14ac:dyDescent="0.2">
      <c r="A2064">
        <v>2063</v>
      </c>
      <c r="B2064">
        <v>0</v>
      </c>
      <c r="C2064">
        <v>100</v>
      </c>
      <c r="D2064">
        <v>70</v>
      </c>
      <c r="E2064">
        <v>26</v>
      </c>
      <c r="F2064">
        <v>50</v>
      </c>
      <c r="G2064">
        <v>30.8</v>
      </c>
      <c r="H2064">
        <v>0.59699999999999998</v>
      </c>
      <c r="I2064">
        <v>21</v>
      </c>
      <c r="J2064">
        <v>0</v>
      </c>
      <c r="K2064" t="str">
        <f t="shared" si="64"/>
        <v>Young</v>
      </c>
      <c r="L2064" t="str">
        <f t="shared" si="65"/>
        <v>Obese</v>
      </c>
    </row>
    <row r="2065" spans="1:12" x14ac:dyDescent="0.2">
      <c r="A2065">
        <v>2064</v>
      </c>
      <c r="B2065">
        <v>0</v>
      </c>
      <c r="C2065">
        <v>93</v>
      </c>
      <c r="D2065">
        <v>60</v>
      </c>
      <c r="E2065">
        <v>25</v>
      </c>
      <c r="F2065">
        <v>92</v>
      </c>
      <c r="G2065">
        <v>28.7</v>
      </c>
      <c r="H2065">
        <v>0.53200000000000003</v>
      </c>
      <c r="I2065">
        <v>22</v>
      </c>
      <c r="J2065">
        <v>0</v>
      </c>
      <c r="K2065" t="str">
        <f t="shared" si="64"/>
        <v>Young</v>
      </c>
      <c r="L2065" t="str">
        <f t="shared" si="65"/>
        <v>Overweight</v>
      </c>
    </row>
    <row r="2066" spans="1:12" x14ac:dyDescent="0.2">
      <c r="A2066">
        <v>2065</v>
      </c>
      <c r="B2066">
        <v>0</v>
      </c>
      <c r="C2066">
        <v>129</v>
      </c>
      <c r="D2066">
        <v>80</v>
      </c>
      <c r="E2066">
        <v>0</v>
      </c>
      <c r="F2066">
        <v>0</v>
      </c>
      <c r="G2066">
        <v>31.2</v>
      </c>
      <c r="H2066">
        <v>0.70299999999999996</v>
      </c>
      <c r="I2066">
        <v>29</v>
      </c>
      <c r="J2066">
        <v>0</v>
      </c>
      <c r="K2066" t="str">
        <f t="shared" si="64"/>
        <v>Young</v>
      </c>
      <c r="L2066" t="str">
        <f t="shared" si="65"/>
        <v>Obese</v>
      </c>
    </row>
    <row r="2067" spans="1:12" x14ac:dyDescent="0.2">
      <c r="A2067">
        <v>2066</v>
      </c>
      <c r="B2067">
        <v>5</v>
      </c>
      <c r="C2067">
        <v>105</v>
      </c>
      <c r="D2067">
        <v>72</v>
      </c>
      <c r="E2067">
        <v>29</v>
      </c>
      <c r="F2067">
        <v>325</v>
      </c>
      <c r="G2067">
        <v>36.9</v>
      </c>
      <c r="H2067">
        <v>0.159</v>
      </c>
      <c r="I2067">
        <v>28</v>
      </c>
      <c r="J2067">
        <v>0</v>
      </c>
      <c r="K2067" t="str">
        <f t="shared" si="64"/>
        <v>Young</v>
      </c>
      <c r="L2067" t="str">
        <f t="shared" si="65"/>
        <v>Obese</v>
      </c>
    </row>
    <row r="2068" spans="1:12" x14ac:dyDescent="0.2">
      <c r="A2068">
        <v>2067</v>
      </c>
      <c r="B2068">
        <v>3</v>
      </c>
      <c r="C2068">
        <v>128</v>
      </c>
      <c r="D2068">
        <v>78</v>
      </c>
      <c r="E2068">
        <v>0</v>
      </c>
      <c r="F2068">
        <v>0</v>
      </c>
      <c r="G2068">
        <v>21.1</v>
      </c>
      <c r="H2068">
        <v>0.26800000000000002</v>
      </c>
      <c r="I2068">
        <v>55</v>
      </c>
      <c r="J2068">
        <v>0</v>
      </c>
      <c r="K2068" t="str">
        <f t="shared" si="64"/>
        <v>Senior</v>
      </c>
      <c r="L2068" t="str">
        <f t="shared" si="65"/>
        <v>Normal</v>
      </c>
    </row>
    <row r="2069" spans="1:12" x14ac:dyDescent="0.2">
      <c r="A2069">
        <v>2068</v>
      </c>
      <c r="B2069">
        <v>5</v>
      </c>
      <c r="C2069">
        <v>106</v>
      </c>
      <c r="D2069">
        <v>82</v>
      </c>
      <c r="E2069">
        <v>30</v>
      </c>
      <c r="F2069">
        <v>0</v>
      </c>
      <c r="G2069">
        <v>39.5</v>
      </c>
      <c r="H2069">
        <v>0.28599999999999998</v>
      </c>
      <c r="I2069">
        <v>38</v>
      </c>
      <c r="J2069">
        <v>0</v>
      </c>
      <c r="K2069" t="str">
        <f t="shared" si="64"/>
        <v>Middle-Aged</v>
      </c>
      <c r="L2069" t="str">
        <f t="shared" si="65"/>
        <v>Obese</v>
      </c>
    </row>
    <row r="2070" spans="1:12" x14ac:dyDescent="0.2">
      <c r="A2070">
        <v>2069</v>
      </c>
      <c r="B2070">
        <v>2</v>
      </c>
      <c r="C2070">
        <v>108</v>
      </c>
      <c r="D2070">
        <v>52</v>
      </c>
      <c r="E2070">
        <v>26</v>
      </c>
      <c r="F2070">
        <v>63</v>
      </c>
      <c r="G2070">
        <v>32.5</v>
      </c>
      <c r="H2070">
        <v>0.318</v>
      </c>
      <c r="I2070">
        <v>22</v>
      </c>
      <c r="J2070">
        <v>0</v>
      </c>
      <c r="K2070" t="str">
        <f t="shared" si="64"/>
        <v>Young</v>
      </c>
      <c r="L2070" t="str">
        <f t="shared" si="65"/>
        <v>Obese</v>
      </c>
    </row>
    <row r="2071" spans="1:12" x14ac:dyDescent="0.2">
      <c r="A2071">
        <v>2070</v>
      </c>
      <c r="B2071">
        <v>10</v>
      </c>
      <c r="C2071">
        <v>108</v>
      </c>
      <c r="D2071">
        <v>66</v>
      </c>
      <c r="E2071">
        <v>0</v>
      </c>
      <c r="F2071">
        <v>0</v>
      </c>
      <c r="G2071">
        <v>32.4</v>
      </c>
      <c r="H2071">
        <v>0.27200000000000002</v>
      </c>
      <c r="I2071">
        <v>42</v>
      </c>
      <c r="J2071">
        <v>1</v>
      </c>
      <c r="K2071" t="str">
        <f t="shared" si="64"/>
        <v>Middle-Aged</v>
      </c>
      <c r="L2071" t="str">
        <f t="shared" si="65"/>
        <v>Obese</v>
      </c>
    </row>
    <row r="2072" spans="1:12" x14ac:dyDescent="0.2">
      <c r="A2072">
        <v>2071</v>
      </c>
      <c r="B2072">
        <v>4</v>
      </c>
      <c r="C2072">
        <v>154</v>
      </c>
      <c r="D2072">
        <v>62</v>
      </c>
      <c r="E2072">
        <v>31</v>
      </c>
      <c r="F2072">
        <v>284</v>
      </c>
      <c r="G2072">
        <v>32.799999999999997</v>
      </c>
      <c r="H2072">
        <v>0.23699999999999999</v>
      </c>
      <c r="I2072">
        <v>23</v>
      </c>
      <c r="J2072">
        <v>0</v>
      </c>
      <c r="K2072" t="str">
        <f t="shared" si="64"/>
        <v>Young</v>
      </c>
      <c r="L2072" t="str">
        <f t="shared" si="65"/>
        <v>Obese</v>
      </c>
    </row>
    <row r="2073" spans="1:12" x14ac:dyDescent="0.2">
      <c r="A2073">
        <v>2072</v>
      </c>
      <c r="B2073">
        <v>0</v>
      </c>
      <c r="C2073">
        <v>102</v>
      </c>
      <c r="D2073">
        <v>75</v>
      </c>
      <c r="E2073">
        <v>23</v>
      </c>
      <c r="F2073">
        <v>0</v>
      </c>
      <c r="G2073">
        <v>121</v>
      </c>
      <c r="H2073">
        <v>0.57199999999999995</v>
      </c>
      <c r="I2073">
        <v>21</v>
      </c>
      <c r="J2073">
        <v>0</v>
      </c>
      <c r="K2073" t="str">
        <f t="shared" si="64"/>
        <v>Young</v>
      </c>
      <c r="L2073" t="str">
        <f t="shared" si="65"/>
        <v>Obese</v>
      </c>
    </row>
    <row r="2074" spans="1:12" x14ac:dyDescent="0.2">
      <c r="A2074">
        <v>2073</v>
      </c>
      <c r="B2074">
        <v>9</v>
      </c>
      <c r="C2074">
        <v>57</v>
      </c>
      <c r="D2074">
        <v>80</v>
      </c>
      <c r="E2074">
        <v>37</v>
      </c>
      <c r="F2074">
        <v>0</v>
      </c>
      <c r="G2074">
        <v>32.799999999999997</v>
      </c>
      <c r="H2074">
        <v>9.6000000000000002E-2</v>
      </c>
      <c r="I2074">
        <v>41</v>
      </c>
      <c r="J2074">
        <v>0</v>
      </c>
      <c r="K2074" t="str">
        <f t="shared" si="64"/>
        <v>Middle-Aged</v>
      </c>
      <c r="L2074" t="str">
        <f t="shared" si="65"/>
        <v>Obese</v>
      </c>
    </row>
    <row r="2075" spans="1:12" x14ac:dyDescent="0.2">
      <c r="A2075">
        <v>2074</v>
      </c>
      <c r="B2075">
        <v>2</v>
      </c>
      <c r="C2075">
        <v>106</v>
      </c>
      <c r="D2075">
        <v>64</v>
      </c>
      <c r="E2075">
        <v>35</v>
      </c>
      <c r="F2075">
        <v>119</v>
      </c>
      <c r="G2075">
        <v>30.5</v>
      </c>
      <c r="H2075">
        <v>1.4</v>
      </c>
      <c r="I2075">
        <v>34</v>
      </c>
      <c r="J2075">
        <v>0</v>
      </c>
      <c r="K2075" t="str">
        <f t="shared" si="64"/>
        <v>Middle-Aged</v>
      </c>
      <c r="L2075" t="str">
        <f t="shared" si="65"/>
        <v>Obese</v>
      </c>
    </row>
    <row r="2076" spans="1:12" x14ac:dyDescent="0.2">
      <c r="A2076">
        <v>2075</v>
      </c>
      <c r="B2076">
        <v>5</v>
      </c>
      <c r="C2076">
        <v>147</v>
      </c>
      <c r="D2076">
        <v>78</v>
      </c>
      <c r="E2076">
        <v>0</v>
      </c>
      <c r="F2076">
        <v>0</v>
      </c>
      <c r="G2076">
        <v>33.700000000000003</v>
      </c>
      <c r="H2076">
        <v>0.218</v>
      </c>
      <c r="I2076">
        <v>65</v>
      </c>
      <c r="J2076">
        <v>0</v>
      </c>
      <c r="K2076" t="str">
        <f t="shared" si="64"/>
        <v>Senior</v>
      </c>
      <c r="L2076" t="str">
        <f t="shared" si="65"/>
        <v>Obese</v>
      </c>
    </row>
    <row r="2077" spans="1:12" x14ac:dyDescent="0.2">
      <c r="A2077">
        <v>2076</v>
      </c>
      <c r="B2077">
        <v>2</v>
      </c>
      <c r="C2077">
        <v>90</v>
      </c>
      <c r="D2077">
        <v>70</v>
      </c>
      <c r="E2077">
        <v>17</v>
      </c>
      <c r="F2077">
        <v>0</v>
      </c>
      <c r="G2077">
        <v>27.3</v>
      </c>
      <c r="H2077">
        <v>8.5000000000000006E-2</v>
      </c>
      <c r="I2077">
        <v>22</v>
      </c>
      <c r="J2077">
        <v>0</v>
      </c>
      <c r="K2077" t="str">
        <f t="shared" si="64"/>
        <v>Young</v>
      </c>
      <c r="L2077" t="str">
        <f t="shared" si="65"/>
        <v>Overweight</v>
      </c>
    </row>
    <row r="2078" spans="1:12" x14ac:dyDescent="0.2">
      <c r="A2078">
        <v>2077</v>
      </c>
      <c r="B2078">
        <v>1</v>
      </c>
      <c r="C2078">
        <v>136</v>
      </c>
      <c r="D2078">
        <v>74</v>
      </c>
      <c r="E2078">
        <v>50</v>
      </c>
      <c r="F2078">
        <v>204</v>
      </c>
      <c r="G2078">
        <v>37.4</v>
      </c>
      <c r="H2078">
        <v>0.39900000000000002</v>
      </c>
      <c r="I2078">
        <v>24</v>
      </c>
      <c r="J2078">
        <v>0</v>
      </c>
      <c r="K2078" t="str">
        <f t="shared" si="64"/>
        <v>Young</v>
      </c>
      <c r="L2078" t="str">
        <f t="shared" si="65"/>
        <v>Obese</v>
      </c>
    </row>
    <row r="2079" spans="1:12" x14ac:dyDescent="0.2">
      <c r="A2079">
        <v>2078</v>
      </c>
      <c r="B2079">
        <v>4</v>
      </c>
      <c r="C2079">
        <v>114</v>
      </c>
      <c r="D2079">
        <v>65</v>
      </c>
      <c r="E2079">
        <v>0</v>
      </c>
      <c r="F2079">
        <v>0</v>
      </c>
      <c r="G2079">
        <v>21.9</v>
      </c>
      <c r="H2079">
        <v>0.432</v>
      </c>
      <c r="I2079">
        <v>37</v>
      </c>
      <c r="J2079">
        <v>0</v>
      </c>
      <c r="K2079" t="str">
        <f t="shared" si="64"/>
        <v>Middle-Aged</v>
      </c>
      <c r="L2079" t="str">
        <f t="shared" si="65"/>
        <v>Normal</v>
      </c>
    </row>
    <row r="2080" spans="1:12" x14ac:dyDescent="0.2">
      <c r="A2080">
        <v>2079</v>
      </c>
      <c r="B2080">
        <v>9</v>
      </c>
      <c r="C2080">
        <v>156</v>
      </c>
      <c r="D2080">
        <v>86</v>
      </c>
      <c r="E2080">
        <v>28</v>
      </c>
      <c r="F2080">
        <v>155</v>
      </c>
      <c r="G2080">
        <v>34.299999999999997</v>
      </c>
      <c r="H2080">
        <v>1.1890000000000001</v>
      </c>
      <c r="I2080">
        <v>42</v>
      </c>
      <c r="J2080">
        <v>1</v>
      </c>
      <c r="K2080" t="str">
        <f t="shared" si="64"/>
        <v>Middle-Aged</v>
      </c>
      <c r="L2080" t="str">
        <f t="shared" si="65"/>
        <v>Obese</v>
      </c>
    </row>
    <row r="2081" spans="1:12" x14ac:dyDescent="0.2">
      <c r="A2081">
        <v>2080</v>
      </c>
      <c r="B2081">
        <v>1</v>
      </c>
      <c r="C2081">
        <v>153</v>
      </c>
      <c r="D2081">
        <v>82</v>
      </c>
      <c r="E2081">
        <v>42</v>
      </c>
      <c r="F2081">
        <v>485</v>
      </c>
      <c r="G2081">
        <v>40.6</v>
      </c>
      <c r="H2081">
        <v>0.68700000000000006</v>
      </c>
      <c r="I2081">
        <v>23</v>
      </c>
      <c r="J2081">
        <v>0</v>
      </c>
      <c r="K2081" t="str">
        <f t="shared" si="64"/>
        <v>Young</v>
      </c>
      <c r="L2081" t="str">
        <f t="shared" si="65"/>
        <v>Obese</v>
      </c>
    </row>
    <row r="2082" spans="1:12" x14ac:dyDescent="0.2">
      <c r="A2082">
        <v>2081</v>
      </c>
      <c r="B2082">
        <v>8</v>
      </c>
      <c r="C2082">
        <v>188</v>
      </c>
      <c r="D2082">
        <v>78</v>
      </c>
      <c r="E2082">
        <v>0</v>
      </c>
      <c r="F2082">
        <v>0</v>
      </c>
      <c r="G2082">
        <v>47.9</v>
      </c>
      <c r="H2082">
        <v>0.13700000000000001</v>
      </c>
      <c r="I2082">
        <v>43</v>
      </c>
      <c r="J2082">
        <v>1</v>
      </c>
      <c r="K2082" t="str">
        <f t="shared" si="64"/>
        <v>Middle-Aged</v>
      </c>
      <c r="L2082" t="str">
        <f t="shared" si="65"/>
        <v>Obese</v>
      </c>
    </row>
    <row r="2083" spans="1:12" x14ac:dyDescent="0.2">
      <c r="A2083">
        <v>2082</v>
      </c>
      <c r="B2083">
        <v>7</v>
      </c>
      <c r="C2083">
        <v>152</v>
      </c>
      <c r="D2083">
        <v>88</v>
      </c>
      <c r="E2083">
        <v>44</v>
      </c>
      <c r="F2083">
        <v>0</v>
      </c>
      <c r="G2083">
        <v>50</v>
      </c>
      <c r="H2083">
        <v>0.33700000000000002</v>
      </c>
      <c r="I2083">
        <v>36</v>
      </c>
      <c r="J2083">
        <v>1</v>
      </c>
      <c r="K2083" t="str">
        <f t="shared" si="64"/>
        <v>Middle-Aged</v>
      </c>
      <c r="L2083" t="str">
        <f t="shared" si="65"/>
        <v>Obese</v>
      </c>
    </row>
    <row r="2084" spans="1:12" x14ac:dyDescent="0.2">
      <c r="A2084">
        <v>2083</v>
      </c>
      <c r="B2084">
        <v>2</v>
      </c>
      <c r="C2084">
        <v>99</v>
      </c>
      <c r="D2084">
        <v>52</v>
      </c>
      <c r="E2084">
        <v>15</v>
      </c>
      <c r="F2084">
        <v>94</v>
      </c>
      <c r="G2084">
        <v>24.6</v>
      </c>
      <c r="H2084">
        <v>0.63700000000000001</v>
      </c>
      <c r="I2084">
        <v>21</v>
      </c>
      <c r="J2084">
        <v>0</v>
      </c>
      <c r="K2084" t="str">
        <f t="shared" si="64"/>
        <v>Young</v>
      </c>
      <c r="L2084" t="str">
        <f t="shared" si="65"/>
        <v>Normal</v>
      </c>
    </row>
    <row r="2085" spans="1:12" x14ac:dyDescent="0.2">
      <c r="A2085">
        <v>2084</v>
      </c>
      <c r="B2085">
        <v>1</v>
      </c>
      <c r="C2085">
        <v>109</v>
      </c>
      <c r="D2085">
        <v>56</v>
      </c>
      <c r="E2085">
        <v>21</v>
      </c>
      <c r="F2085">
        <v>135</v>
      </c>
      <c r="G2085">
        <v>25.2</v>
      </c>
      <c r="H2085">
        <v>0.83299999999999996</v>
      </c>
      <c r="I2085">
        <v>23</v>
      </c>
      <c r="J2085">
        <v>0</v>
      </c>
      <c r="K2085" t="str">
        <f t="shared" si="64"/>
        <v>Young</v>
      </c>
      <c r="L2085" t="str">
        <f t="shared" si="65"/>
        <v>Overweight</v>
      </c>
    </row>
    <row r="2086" spans="1:12" x14ac:dyDescent="0.2">
      <c r="A2086">
        <v>2085</v>
      </c>
      <c r="B2086">
        <v>2</v>
      </c>
      <c r="C2086">
        <v>88</v>
      </c>
      <c r="D2086">
        <v>74</v>
      </c>
      <c r="E2086">
        <v>19</v>
      </c>
      <c r="F2086">
        <v>53</v>
      </c>
      <c r="G2086">
        <v>29</v>
      </c>
      <c r="H2086">
        <v>0.22900000000000001</v>
      </c>
      <c r="I2086">
        <v>22</v>
      </c>
      <c r="J2086">
        <v>0</v>
      </c>
      <c r="K2086" t="str">
        <f t="shared" si="64"/>
        <v>Young</v>
      </c>
      <c r="L2086" t="str">
        <f t="shared" si="65"/>
        <v>Overweight</v>
      </c>
    </row>
    <row r="2087" spans="1:12" x14ac:dyDescent="0.2">
      <c r="A2087">
        <v>2086</v>
      </c>
      <c r="B2087">
        <v>17</v>
      </c>
      <c r="C2087">
        <v>163</v>
      </c>
      <c r="D2087">
        <v>72</v>
      </c>
      <c r="E2087">
        <v>41</v>
      </c>
      <c r="F2087">
        <v>114</v>
      </c>
      <c r="G2087">
        <v>40.9</v>
      </c>
      <c r="H2087">
        <v>0.81699999999999995</v>
      </c>
      <c r="I2087">
        <v>47</v>
      </c>
      <c r="J2087">
        <v>1</v>
      </c>
      <c r="K2087" t="str">
        <f t="shared" si="64"/>
        <v>Senior</v>
      </c>
      <c r="L2087" t="str">
        <f t="shared" si="65"/>
        <v>Obese</v>
      </c>
    </row>
    <row r="2088" spans="1:12" x14ac:dyDescent="0.2">
      <c r="A2088">
        <v>2087</v>
      </c>
      <c r="B2088">
        <v>4</v>
      </c>
      <c r="C2088">
        <v>151</v>
      </c>
      <c r="D2088">
        <v>90</v>
      </c>
      <c r="E2088">
        <v>38</v>
      </c>
      <c r="F2088">
        <v>0</v>
      </c>
      <c r="G2088">
        <v>29.7</v>
      </c>
      <c r="H2088">
        <v>0.29399999999999998</v>
      </c>
      <c r="I2088">
        <v>36</v>
      </c>
      <c r="J2088">
        <v>0</v>
      </c>
      <c r="K2088" t="str">
        <f t="shared" si="64"/>
        <v>Middle-Aged</v>
      </c>
      <c r="L2088" t="str">
        <f t="shared" si="65"/>
        <v>Overweight</v>
      </c>
    </row>
    <row r="2089" spans="1:12" x14ac:dyDescent="0.2">
      <c r="A2089">
        <v>2088</v>
      </c>
      <c r="B2089">
        <v>7</v>
      </c>
      <c r="C2089">
        <v>102</v>
      </c>
      <c r="D2089">
        <v>74</v>
      </c>
      <c r="E2089">
        <v>40</v>
      </c>
      <c r="F2089">
        <v>105</v>
      </c>
      <c r="G2089">
        <v>37.200000000000003</v>
      </c>
      <c r="H2089">
        <v>0.20399999999999999</v>
      </c>
      <c r="I2089">
        <v>45</v>
      </c>
      <c r="J2089">
        <v>0</v>
      </c>
      <c r="K2089" t="str">
        <f t="shared" si="64"/>
        <v>Senior</v>
      </c>
      <c r="L2089" t="str">
        <f t="shared" si="65"/>
        <v>Obese</v>
      </c>
    </row>
    <row r="2090" spans="1:12" x14ac:dyDescent="0.2">
      <c r="A2090">
        <v>2089</v>
      </c>
      <c r="B2090">
        <v>0</v>
      </c>
      <c r="C2090">
        <v>114</v>
      </c>
      <c r="D2090">
        <v>80</v>
      </c>
      <c r="E2090">
        <v>34</v>
      </c>
      <c r="F2090">
        <v>285</v>
      </c>
      <c r="G2090">
        <v>44.2</v>
      </c>
      <c r="H2090">
        <v>0.16700000000000001</v>
      </c>
      <c r="I2090">
        <v>27</v>
      </c>
      <c r="J2090">
        <v>0</v>
      </c>
      <c r="K2090" t="str">
        <f t="shared" si="64"/>
        <v>Young</v>
      </c>
      <c r="L2090" t="str">
        <f t="shared" si="65"/>
        <v>Obese</v>
      </c>
    </row>
    <row r="2091" spans="1:12" x14ac:dyDescent="0.2">
      <c r="A2091">
        <v>2090</v>
      </c>
      <c r="B2091">
        <v>2</v>
      </c>
      <c r="C2091">
        <v>100</v>
      </c>
      <c r="D2091">
        <v>64</v>
      </c>
      <c r="E2091">
        <v>23</v>
      </c>
      <c r="F2091">
        <v>0</v>
      </c>
      <c r="G2091">
        <v>29.7</v>
      </c>
      <c r="H2091">
        <v>0.36799999999999999</v>
      </c>
      <c r="I2091">
        <v>21</v>
      </c>
      <c r="J2091">
        <v>0</v>
      </c>
      <c r="K2091" t="str">
        <f t="shared" si="64"/>
        <v>Young</v>
      </c>
      <c r="L2091" t="str">
        <f t="shared" si="65"/>
        <v>Overweight</v>
      </c>
    </row>
    <row r="2092" spans="1:12" x14ac:dyDescent="0.2">
      <c r="A2092">
        <v>2091</v>
      </c>
      <c r="B2092">
        <v>0</v>
      </c>
      <c r="C2092">
        <v>131</v>
      </c>
      <c r="D2092">
        <v>88</v>
      </c>
      <c r="E2092">
        <v>0</v>
      </c>
      <c r="F2092">
        <v>0</v>
      </c>
      <c r="G2092">
        <v>31.6</v>
      </c>
      <c r="H2092">
        <v>0.74299999999999999</v>
      </c>
      <c r="I2092">
        <v>32</v>
      </c>
      <c r="J2092">
        <v>1</v>
      </c>
      <c r="K2092" t="str">
        <f t="shared" si="64"/>
        <v>Middle-Aged</v>
      </c>
      <c r="L2092" t="str">
        <f t="shared" si="65"/>
        <v>Obese</v>
      </c>
    </row>
    <row r="2093" spans="1:12" x14ac:dyDescent="0.2">
      <c r="A2093">
        <v>2092</v>
      </c>
      <c r="B2093">
        <v>6</v>
      </c>
      <c r="C2093">
        <v>104</v>
      </c>
      <c r="D2093">
        <v>74</v>
      </c>
      <c r="E2093">
        <v>18</v>
      </c>
      <c r="F2093">
        <v>156</v>
      </c>
      <c r="G2093">
        <v>29.9</v>
      </c>
      <c r="H2093">
        <v>0.72199999999999998</v>
      </c>
      <c r="I2093">
        <v>41</v>
      </c>
      <c r="J2093">
        <v>1</v>
      </c>
      <c r="K2093" t="str">
        <f t="shared" si="64"/>
        <v>Middle-Aged</v>
      </c>
      <c r="L2093" t="str">
        <f t="shared" si="65"/>
        <v>Overweight</v>
      </c>
    </row>
    <row r="2094" spans="1:12" x14ac:dyDescent="0.2">
      <c r="A2094">
        <v>2093</v>
      </c>
      <c r="B2094">
        <v>3</v>
      </c>
      <c r="C2094">
        <v>148</v>
      </c>
      <c r="D2094">
        <v>66</v>
      </c>
      <c r="E2094">
        <v>25</v>
      </c>
      <c r="F2094">
        <v>0</v>
      </c>
      <c r="G2094">
        <v>32.5</v>
      </c>
      <c r="H2094">
        <v>0.25600000000000001</v>
      </c>
      <c r="I2094">
        <v>22</v>
      </c>
      <c r="J2094">
        <v>0</v>
      </c>
      <c r="K2094" t="str">
        <f t="shared" si="64"/>
        <v>Young</v>
      </c>
      <c r="L2094" t="str">
        <f t="shared" si="65"/>
        <v>Obese</v>
      </c>
    </row>
    <row r="2095" spans="1:12" x14ac:dyDescent="0.2">
      <c r="A2095">
        <v>2094</v>
      </c>
      <c r="B2095">
        <v>4</v>
      </c>
      <c r="C2095">
        <v>120</v>
      </c>
      <c r="D2095">
        <v>68</v>
      </c>
      <c r="E2095">
        <v>0</v>
      </c>
      <c r="F2095">
        <v>0</v>
      </c>
      <c r="G2095">
        <v>29.6</v>
      </c>
      <c r="H2095">
        <v>0.70899999999999996</v>
      </c>
      <c r="I2095">
        <v>34</v>
      </c>
      <c r="J2095">
        <v>0</v>
      </c>
      <c r="K2095" t="str">
        <f t="shared" si="64"/>
        <v>Middle-Aged</v>
      </c>
      <c r="L2095" t="str">
        <f t="shared" si="65"/>
        <v>Overweight</v>
      </c>
    </row>
    <row r="2096" spans="1:12" x14ac:dyDescent="0.2">
      <c r="A2096">
        <v>2095</v>
      </c>
      <c r="B2096">
        <v>4</v>
      </c>
      <c r="C2096">
        <v>110</v>
      </c>
      <c r="D2096">
        <v>66</v>
      </c>
      <c r="E2096">
        <v>0</v>
      </c>
      <c r="F2096">
        <v>0</v>
      </c>
      <c r="G2096">
        <v>31.9</v>
      </c>
      <c r="H2096">
        <v>0.47099999999999997</v>
      </c>
      <c r="I2096">
        <v>29</v>
      </c>
      <c r="J2096">
        <v>0</v>
      </c>
      <c r="K2096" t="str">
        <f t="shared" si="64"/>
        <v>Young</v>
      </c>
      <c r="L2096" t="str">
        <f t="shared" si="65"/>
        <v>Obese</v>
      </c>
    </row>
    <row r="2097" spans="1:12" x14ac:dyDescent="0.2">
      <c r="A2097">
        <v>2096</v>
      </c>
      <c r="B2097">
        <v>3</v>
      </c>
      <c r="C2097">
        <v>111</v>
      </c>
      <c r="D2097">
        <v>90</v>
      </c>
      <c r="E2097">
        <v>12</v>
      </c>
      <c r="F2097">
        <v>78</v>
      </c>
      <c r="G2097">
        <v>28.4</v>
      </c>
      <c r="H2097">
        <v>0.495</v>
      </c>
      <c r="I2097">
        <v>29</v>
      </c>
      <c r="J2097">
        <v>0</v>
      </c>
      <c r="K2097" t="str">
        <f t="shared" si="64"/>
        <v>Young</v>
      </c>
      <c r="L2097" t="str">
        <f t="shared" si="65"/>
        <v>Overweight</v>
      </c>
    </row>
    <row r="2098" spans="1:12" x14ac:dyDescent="0.2">
      <c r="A2098">
        <v>2097</v>
      </c>
      <c r="B2098">
        <v>6</v>
      </c>
      <c r="C2098">
        <v>102</v>
      </c>
      <c r="D2098">
        <v>82</v>
      </c>
      <c r="E2098">
        <v>0</v>
      </c>
      <c r="F2098">
        <v>0</v>
      </c>
      <c r="G2098">
        <v>30.8</v>
      </c>
      <c r="H2098">
        <v>0.18</v>
      </c>
      <c r="I2098">
        <v>36</v>
      </c>
      <c r="J2098">
        <v>1</v>
      </c>
      <c r="K2098" t="str">
        <f t="shared" si="64"/>
        <v>Middle-Aged</v>
      </c>
      <c r="L2098" t="str">
        <f t="shared" si="65"/>
        <v>Obese</v>
      </c>
    </row>
    <row r="2099" spans="1:12" x14ac:dyDescent="0.2">
      <c r="A2099">
        <v>2098</v>
      </c>
      <c r="B2099">
        <v>6</v>
      </c>
      <c r="C2099">
        <v>134</v>
      </c>
      <c r="D2099">
        <v>70</v>
      </c>
      <c r="E2099">
        <v>23</v>
      </c>
      <c r="F2099">
        <v>130</v>
      </c>
      <c r="G2099">
        <v>35.4</v>
      </c>
      <c r="H2099">
        <v>0.54200000000000004</v>
      </c>
      <c r="I2099">
        <v>29</v>
      </c>
      <c r="J2099">
        <v>1</v>
      </c>
      <c r="K2099" t="str">
        <f t="shared" si="64"/>
        <v>Young</v>
      </c>
      <c r="L2099" t="str">
        <f t="shared" si="65"/>
        <v>Obese</v>
      </c>
    </row>
    <row r="2100" spans="1:12" x14ac:dyDescent="0.2">
      <c r="A2100">
        <v>2099</v>
      </c>
      <c r="B2100">
        <v>2</v>
      </c>
      <c r="C2100">
        <v>87</v>
      </c>
      <c r="D2100">
        <v>121</v>
      </c>
      <c r="E2100">
        <v>23</v>
      </c>
      <c r="F2100">
        <v>0</v>
      </c>
      <c r="G2100">
        <v>28.9</v>
      </c>
      <c r="H2100">
        <v>0.77300000000000002</v>
      </c>
      <c r="I2100">
        <v>25</v>
      </c>
      <c r="J2100">
        <v>0</v>
      </c>
      <c r="K2100" t="str">
        <f t="shared" si="64"/>
        <v>Young</v>
      </c>
      <c r="L2100" t="str">
        <f t="shared" si="65"/>
        <v>Overweight</v>
      </c>
    </row>
    <row r="2101" spans="1:12" x14ac:dyDescent="0.2">
      <c r="A2101">
        <v>2100</v>
      </c>
      <c r="B2101">
        <v>1</v>
      </c>
      <c r="C2101">
        <v>79</v>
      </c>
      <c r="D2101">
        <v>60</v>
      </c>
      <c r="E2101">
        <v>42</v>
      </c>
      <c r="F2101">
        <v>48</v>
      </c>
      <c r="G2101">
        <v>43.5</v>
      </c>
      <c r="H2101">
        <v>0.67800000000000005</v>
      </c>
      <c r="I2101">
        <v>23</v>
      </c>
      <c r="J2101">
        <v>0</v>
      </c>
      <c r="K2101" t="str">
        <f t="shared" si="64"/>
        <v>Young</v>
      </c>
      <c r="L2101" t="str">
        <f t="shared" si="65"/>
        <v>Obese</v>
      </c>
    </row>
    <row r="2102" spans="1:12" x14ac:dyDescent="0.2">
      <c r="A2102">
        <v>2101</v>
      </c>
      <c r="B2102">
        <v>2</v>
      </c>
      <c r="C2102">
        <v>75</v>
      </c>
      <c r="D2102">
        <v>64</v>
      </c>
      <c r="E2102">
        <v>24</v>
      </c>
      <c r="F2102">
        <v>55</v>
      </c>
      <c r="G2102">
        <v>29.7</v>
      </c>
      <c r="H2102">
        <v>0.37</v>
      </c>
      <c r="I2102">
        <v>33</v>
      </c>
      <c r="J2102">
        <v>0</v>
      </c>
      <c r="K2102" t="str">
        <f t="shared" si="64"/>
        <v>Middle-Aged</v>
      </c>
      <c r="L2102" t="str">
        <f t="shared" si="65"/>
        <v>Overweight</v>
      </c>
    </row>
    <row r="2103" spans="1:12" x14ac:dyDescent="0.2">
      <c r="A2103">
        <v>2102</v>
      </c>
      <c r="B2103">
        <v>8</v>
      </c>
      <c r="C2103">
        <v>179</v>
      </c>
      <c r="D2103">
        <v>72</v>
      </c>
      <c r="E2103">
        <v>42</v>
      </c>
      <c r="F2103">
        <v>130</v>
      </c>
      <c r="G2103">
        <v>32.700000000000003</v>
      </c>
      <c r="H2103">
        <v>0.71899999999999997</v>
      </c>
      <c r="I2103">
        <v>36</v>
      </c>
      <c r="J2103">
        <v>1</v>
      </c>
      <c r="K2103" t="str">
        <f t="shared" si="64"/>
        <v>Middle-Aged</v>
      </c>
      <c r="L2103" t="str">
        <f t="shared" si="65"/>
        <v>Obese</v>
      </c>
    </row>
    <row r="2104" spans="1:12" x14ac:dyDescent="0.2">
      <c r="A2104">
        <v>2103</v>
      </c>
      <c r="B2104">
        <v>6</v>
      </c>
      <c r="C2104">
        <v>85</v>
      </c>
      <c r="D2104">
        <v>78</v>
      </c>
      <c r="E2104">
        <v>0</v>
      </c>
      <c r="F2104">
        <v>0</v>
      </c>
      <c r="G2104">
        <v>31.2</v>
      </c>
      <c r="H2104">
        <v>0.38200000000000001</v>
      </c>
      <c r="I2104">
        <v>42</v>
      </c>
      <c r="J2104">
        <v>0</v>
      </c>
      <c r="K2104" t="str">
        <f t="shared" si="64"/>
        <v>Middle-Aged</v>
      </c>
      <c r="L2104" t="str">
        <f t="shared" si="65"/>
        <v>Obese</v>
      </c>
    </row>
    <row r="2105" spans="1:12" x14ac:dyDescent="0.2">
      <c r="A2105">
        <v>2104</v>
      </c>
      <c r="B2105">
        <v>0</v>
      </c>
      <c r="C2105">
        <v>129</v>
      </c>
      <c r="D2105">
        <v>110</v>
      </c>
      <c r="E2105">
        <v>46</v>
      </c>
      <c r="F2105">
        <v>130</v>
      </c>
      <c r="G2105">
        <v>67.099999999999994</v>
      </c>
      <c r="H2105">
        <v>0.31900000000000001</v>
      </c>
      <c r="I2105">
        <v>26</v>
      </c>
      <c r="J2105">
        <v>1</v>
      </c>
      <c r="K2105" t="str">
        <f t="shared" si="64"/>
        <v>Young</v>
      </c>
      <c r="L2105" t="str">
        <f t="shared" si="65"/>
        <v>Obese</v>
      </c>
    </row>
    <row r="2106" spans="1:12" x14ac:dyDescent="0.2">
      <c r="A2106">
        <v>2105</v>
      </c>
      <c r="B2106">
        <v>5</v>
      </c>
      <c r="C2106">
        <v>143</v>
      </c>
      <c r="D2106">
        <v>78</v>
      </c>
      <c r="E2106">
        <v>0</v>
      </c>
      <c r="F2106">
        <v>0</v>
      </c>
      <c r="G2106">
        <v>45</v>
      </c>
      <c r="H2106">
        <v>0.19</v>
      </c>
      <c r="I2106">
        <v>47</v>
      </c>
      <c r="J2106">
        <v>0</v>
      </c>
      <c r="K2106" t="str">
        <f t="shared" si="64"/>
        <v>Senior</v>
      </c>
      <c r="L2106" t="str">
        <f t="shared" si="65"/>
        <v>Obese</v>
      </c>
    </row>
    <row r="2107" spans="1:12" x14ac:dyDescent="0.2">
      <c r="A2107">
        <v>2106</v>
      </c>
      <c r="B2107">
        <v>5</v>
      </c>
      <c r="C2107">
        <v>130</v>
      </c>
      <c r="D2107">
        <v>82</v>
      </c>
      <c r="E2107">
        <v>0</v>
      </c>
      <c r="F2107">
        <v>0</v>
      </c>
      <c r="G2107">
        <v>39.1</v>
      </c>
      <c r="H2107">
        <v>0.95599999999999996</v>
      </c>
      <c r="I2107">
        <v>37</v>
      </c>
      <c r="J2107">
        <v>1</v>
      </c>
      <c r="K2107" t="str">
        <f t="shared" si="64"/>
        <v>Middle-Aged</v>
      </c>
      <c r="L2107" t="str">
        <f t="shared" si="65"/>
        <v>Obese</v>
      </c>
    </row>
    <row r="2108" spans="1:12" x14ac:dyDescent="0.2">
      <c r="A2108">
        <v>2107</v>
      </c>
      <c r="B2108">
        <v>6</v>
      </c>
      <c r="C2108">
        <v>87</v>
      </c>
      <c r="D2108">
        <v>80</v>
      </c>
      <c r="E2108">
        <v>0</v>
      </c>
      <c r="F2108">
        <v>0</v>
      </c>
      <c r="G2108">
        <v>23.2</v>
      </c>
      <c r="H2108">
        <v>8.4000000000000005E-2</v>
      </c>
      <c r="I2108">
        <v>32</v>
      </c>
      <c r="J2108">
        <v>0</v>
      </c>
      <c r="K2108" t="str">
        <f t="shared" si="64"/>
        <v>Middle-Aged</v>
      </c>
      <c r="L2108" t="str">
        <f t="shared" si="65"/>
        <v>Normal</v>
      </c>
    </row>
    <row r="2109" spans="1:12" x14ac:dyDescent="0.2">
      <c r="A2109">
        <v>2108</v>
      </c>
      <c r="B2109">
        <v>0</v>
      </c>
      <c r="C2109">
        <v>119</v>
      </c>
      <c r="D2109">
        <v>64</v>
      </c>
      <c r="E2109">
        <v>18</v>
      </c>
      <c r="F2109">
        <v>92</v>
      </c>
      <c r="G2109">
        <v>34.9</v>
      </c>
      <c r="H2109">
        <v>0.72499999999999998</v>
      </c>
      <c r="I2109">
        <v>23</v>
      </c>
      <c r="J2109">
        <v>0</v>
      </c>
      <c r="K2109" t="str">
        <f t="shared" si="64"/>
        <v>Young</v>
      </c>
      <c r="L2109" t="str">
        <f t="shared" si="65"/>
        <v>Obese</v>
      </c>
    </row>
    <row r="2110" spans="1:12" x14ac:dyDescent="0.2">
      <c r="A2110">
        <v>2109</v>
      </c>
      <c r="B2110">
        <v>1</v>
      </c>
      <c r="C2110">
        <v>121</v>
      </c>
      <c r="D2110">
        <v>74</v>
      </c>
      <c r="E2110">
        <v>20</v>
      </c>
      <c r="F2110">
        <v>23</v>
      </c>
      <c r="G2110">
        <v>27.7</v>
      </c>
      <c r="H2110">
        <v>0.29899999999999999</v>
      </c>
      <c r="I2110">
        <v>21</v>
      </c>
      <c r="J2110">
        <v>0</v>
      </c>
      <c r="K2110" t="str">
        <f t="shared" si="64"/>
        <v>Young</v>
      </c>
      <c r="L2110" t="str">
        <f t="shared" si="65"/>
        <v>Overweight</v>
      </c>
    </row>
    <row r="2111" spans="1:12" x14ac:dyDescent="0.2">
      <c r="A2111">
        <v>2110</v>
      </c>
      <c r="B2111">
        <v>5</v>
      </c>
      <c r="C2111">
        <v>73</v>
      </c>
      <c r="D2111">
        <v>60</v>
      </c>
      <c r="E2111">
        <v>0</v>
      </c>
      <c r="F2111">
        <v>0</v>
      </c>
      <c r="G2111">
        <v>26.8</v>
      </c>
      <c r="H2111">
        <v>0.26800000000000002</v>
      </c>
      <c r="I2111">
        <v>27</v>
      </c>
      <c r="J2111">
        <v>0</v>
      </c>
      <c r="K2111" t="str">
        <f t="shared" si="64"/>
        <v>Young</v>
      </c>
      <c r="L2111" t="str">
        <f t="shared" si="65"/>
        <v>Overweight</v>
      </c>
    </row>
    <row r="2112" spans="1:12" x14ac:dyDescent="0.2">
      <c r="A2112">
        <v>2111</v>
      </c>
      <c r="B2112">
        <v>4</v>
      </c>
      <c r="C2112">
        <v>141</v>
      </c>
      <c r="D2112">
        <v>74</v>
      </c>
      <c r="E2112">
        <v>0</v>
      </c>
      <c r="F2112">
        <v>0</v>
      </c>
      <c r="G2112">
        <v>27.6</v>
      </c>
      <c r="H2112">
        <v>0.24399999999999999</v>
      </c>
      <c r="I2112">
        <v>40</v>
      </c>
      <c r="J2112">
        <v>0</v>
      </c>
      <c r="K2112" t="str">
        <f t="shared" si="64"/>
        <v>Middle-Aged</v>
      </c>
      <c r="L2112" t="str">
        <f t="shared" si="65"/>
        <v>Overweight</v>
      </c>
    </row>
    <row r="2113" spans="1:12" x14ac:dyDescent="0.2">
      <c r="A2113">
        <v>2112</v>
      </c>
      <c r="B2113">
        <v>7</v>
      </c>
      <c r="C2113">
        <v>194</v>
      </c>
      <c r="D2113">
        <v>68</v>
      </c>
      <c r="E2113">
        <v>28</v>
      </c>
      <c r="F2113">
        <v>0</v>
      </c>
      <c r="G2113">
        <v>35.9</v>
      </c>
      <c r="H2113">
        <v>0.745</v>
      </c>
      <c r="I2113">
        <v>41</v>
      </c>
      <c r="J2113">
        <v>1</v>
      </c>
      <c r="K2113" t="str">
        <f t="shared" si="64"/>
        <v>Middle-Aged</v>
      </c>
      <c r="L2113" t="str">
        <f t="shared" si="65"/>
        <v>Obese</v>
      </c>
    </row>
    <row r="2114" spans="1:12" x14ac:dyDescent="0.2">
      <c r="A2114">
        <v>2113</v>
      </c>
      <c r="B2114">
        <v>8</v>
      </c>
      <c r="C2114">
        <v>181</v>
      </c>
      <c r="D2114">
        <v>68</v>
      </c>
      <c r="E2114">
        <v>36</v>
      </c>
      <c r="F2114">
        <v>495</v>
      </c>
      <c r="G2114">
        <v>30.1</v>
      </c>
      <c r="H2114">
        <v>0.61499999999999999</v>
      </c>
      <c r="I2114">
        <v>60</v>
      </c>
      <c r="J2114">
        <v>1</v>
      </c>
      <c r="K2114" t="str">
        <f t="shared" si="64"/>
        <v>Senior</v>
      </c>
      <c r="L2114" t="str">
        <f t="shared" si="65"/>
        <v>Obese</v>
      </c>
    </row>
    <row r="2115" spans="1:12" x14ac:dyDescent="0.2">
      <c r="A2115">
        <v>2114</v>
      </c>
      <c r="B2115">
        <v>1</v>
      </c>
      <c r="C2115">
        <v>128</v>
      </c>
      <c r="D2115">
        <v>98</v>
      </c>
      <c r="E2115">
        <v>41</v>
      </c>
      <c r="F2115">
        <v>58</v>
      </c>
      <c r="G2115">
        <v>32</v>
      </c>
      <c r="H2115">
        <v>1.321</v>
      </c>
      <c r="I2115">
        <v>33</v>
      </c>
      <c r="J2115">
        <v>1</v>
      </c>
      <c r="K2115" t="str">
        <f t="shared" ref="K2115:K2178" si="66">IF(I2115&lt;30, "Young", IF( I2115&lt;45, "Middle-Aged", "Senior"))</f>
        <v>Middle-Aged</v>
      </c>
      <c r="L2115" t="str">
        <f t="shared" ref="L2115:L2178" si="67">IF(G2115&lt;18.5, "Underweight", IF(G2115&lt;25, "Normal", IF(G2115&lt;30, "Overweight", "Obese")))</f>
        <v>Obese</v>
      </c>
    </row>
    <row r="2116" spans="1:12" x14ac:dyDescent="0.2">
      <c r="A2116">
        <v>2115</v>
      </c>
      <c r="B2116">
        <v>8</v>
      </c>
      <c r="C2116">
        <v>109</v>
      </c>
      <c r="D2116">
        <v>76</v>
      </c>
      <c r="E2116">
        <v>39</v>
      </c>
      <c r="F2116">
        <v>114</v>
      </c>
      <c r="G2116">
        <v>27.9</v>
      </c>
      <c r="H2116">
        <v>0.64</v>
      </c>
      <c r="I2116">
        <v>31</v>
      </c>
      <c r="J2116">
        <v>1</v>
      </c>
      <c r="K2116" t="str">
        <f t="shared" si="66"/>
        <v>Middle-Aged</v>
      </c>
      <c r="L2116" t="str">
        <f t="shared" si="67"/>
        <v>Overweight</v>
      </c>
    </row>
    <row r="2117" spans="1:12" x14ac:dyDescent="0.2">
      <c r="A2117">
        <v>2116</v>
      </c>
      <c r="B2117">
        <v>5</v>
      </c>
      <c r="C2117">
        <v>139</v>
      </c>
      <c r="D2117">
        <v>80</v>
      </c>
      <c r="E2117">
        <v>35</v>
      </c>
      <c r="F2117">
        <v>160</v>
      </c>
      <c r="G2117">
        <v>31.6</v>
      </c>
      <c r="H2117">
        <v>0.36099999999999999</v>
      </c>
      <c r="I2117">
        <v>25</v>
      </c>
      <c r="J2117">
        <v>1</v>
      </c>
      <c r="K2117" t="str">
        <f t="shared" si="66"/>
        <v>Young</v>
      </c>
      <c r="L2117" t="str">
        <f t="shared" si="67"/>
        <v>Obese</v>
      </c>
    </row>
    <row r="2118" spans="1:12" x14ac:dyDescent="0.2">
      <c r="A2118">
        <v>2117</v>
      </c>
      <c r="B2118">
        <v>3</v>
      </c>
      <c r="C2118">
        <v>111</v>
      </c>
      <c r="D2118">
        <v>62</v>
      </c>
      <c r="E2118">
        <v>0</v>
      </c>
      <c r="F2118">
        <v>0</v>
      </c>
      <c r="G2118">
        <v>22.6</v>
      </c>
      <c r="H2118">
        <v>0.14199999999999999</v>
      </c>
      <c r="I2118">
        <v>21</v>
      </c>
      <c r="J2118">
        <v>0</v>
      </c>
      <c r="K2118" t="str">
        <f t="shared" si="66"/>
        <v>Young</v>
      </c>
      <c r="L2118" t="str">
        <f t="shared" si="67"/>
        <v>Normal</v>
      </c>
    </row>
    <row r="2119" spans="1:12" x14ac:dyDescent="0.2">
      <c r="A2119">
        <v>2118</v>
      </c>
      <c r="B2119">
        <v>9</v>
      </c>
      <c r="C2119">
        <v>123</v>
      </c>
      <c r="D2119">
        <v>70</v>
      </c>
      <c r="E2119">
        <v>44</v>
      </c>
      <c r="F2119">
        <v>94</v>
      </c>
      <c r="G2119">
        <v>33.1</v>
      </c>
      <c r="H2119">
        <v>0.374</v>
      </c>
      <c r="I2119">
        <v>40</v>
      </c>
      <c r="J2119">
        <v>0</v>
      </c>
      <c r="K2119" t="str">
        <f t="shared" si="66"/>
        <v>Middle-Aged</v>
      </c>
      <c r="L2119" t="str">
        <f t="shared" si="67"/>
        <v>Obese</v>
      </c>
    </row>
    <row r="2120" spans="1:12" x14ac:dyDescent="0.2">
      <c r="A2120">
        <v>2119</v>
      </c>
      <c r="B2120">
        <v>7</v>
      </c>
      <c r="C2120">
        <v>159</v>
      </c>
      <c r="D2120">
        <v>66</v>
      </c>
      <c r="E2120">
        <v>0</v>
      </c>
      <c r="F2120">
        <v>0</v>
      </c>
      <c r="G2120">
        <v>30.4</v>
      </c>
      <c r="H2120">
        <v>0.38300000000000001</v>
      </c>
      <c r="I2120">
        <v>36</v>
      </c>
      <c r="J2120">
        <v>1</v>
      </c>
      <c r="K2120" t="str">
        <f t="shared" si="66"/>
        <v>Middle-Aged</v>
      </c>
      <c r="L2120" t="str">
        <f t="shared" si="67"/>
        <v>Obese</v>
      </c>
    </row>
    <row r="2121" spans="1:12" x14ac:dyDescent="0.2">
      <c r="A2121">
        <v>2120</v>
      </c>
      <c r="B2121">
        <v>11</v>
      </c>
      <c r="C2121">
        <v>135</v>
      </c>
      <c r="D2121">
        <v>121</v>
      </c>
      <c r="E2121">
        <v>0</v>
      </c>
      <c r="F2121">
        <v>0</v>
      </c>
      <c r="G2121">
        <v>52.3</v>
      </c>
      <c r="H2121">
        <v>0.57799999999999996</v>
      </c>
      <c r="I2121">
        <v>40</v>
      </c>
      <c r="J2121">
        <v>1</v>
      </c>
      <c r="K2121" t="str">
        <f t="shared" si="66"/>
        <v>Middle-Aged</v>
      </c>
      <c r="L2121" t="str">
        <f t="shared" si="67"/>
        <v>Obese</v>
      </c>
    </row>
    <row r="2122" spans="1:12" x14ac:dyDescent="0.2">
      <c r="A2122">
        <v>2121</v>
      </c>
      <c r="B2122">
        <v>8</v>
      </c>
      <c r="C2122">
        <v>85</v>
      </c>
      <c r="D2122">
        <v>55</v>
      </c>
      <c r="E2122">
        <v>20</v>
      </c>
      <c r="F2122">
        <v>0</v>
      </c>
      <c r="G2122">
        <v>24.4</v>
      </c>
      <c r="H2122">
        <v>0.13600000000000001</v>
      </c>
      <c r="I2122">
        <v>42</v>
      </c>
      <c r="J2122">
        <v>0</v>
      </c>
      <c r="K2122" t="str">
        <f t="shared" si="66"/>
        <v>Middle-Aged</v>
      </c>
      <c r="L2122" t="str">
        <f t="shared" si="67"/>
        <v>Normal</v>
      </c>
    </row>
    <row r="2123" spans="1:12" x14ac:dyDescent="0.2">
      <c r="A2123">
        <v>2122</v>
      </c>
      <c r="B2123">
        <v>5</v>
      </c>
      <c r="C2123">
        <v>158</v>
      </c>
      <c r="D2123">
        <v>84</v>
      </c>
      <c r="E2123">
        <v>41</v>
      </c>
      <c r="F2123">
        <v>210</v>
      </c>
      <c r="G2123">
        <v>39.4</v>
      </c>
      <c r="H2123">
        <v>0.39500000000000002</v>
      </c>
      <c r="I2123">
        <v>29</v>
      </c>
      <c r="J2123">
        <v>1</v>
      </c>
      <c r="K2123" t="str">
        <f t="shared" si="66"/>
        <v>Young</v>
      </c>
      <c r="L2123" t="str">
        <f t="shared" si="67"/>
        <v>Obese</v>
      </c>
    </row>
    <row r="2124" spans="1:12" x14ac:dyDescent="0.2">
      <c r="A2124">
        <v>2123</v>
      </c>
      <c r="B2124">
        <v>1</v>
      </c>
      <c r="C2124">
        <v>105</v>
      </c>
      <c r="D2124">
        <v>58</v>
      </c>
      <c r="E2124">
        <v>0</v>
      </c>
      <c r="F2124">
        <v>0</v>
      </c>
      <c r="G2124">
        <v>24.3</v>
      </c>
      <c r="H2124">
        <v>0.187</v>
      </c>
      <c r="I2124">
        <v>21</v>
      </c>
      <c r="J2124">
        <v>0</v>
      </c>
      <c r="K2124" t="str">
        <f t="shared" si="66"/>
        <v>Young</v>
      </c>
      <c r="L2124" t="str">
        <f t="shared" si="67"/>
        <v>Normal</v>
      </c>
    </row>
    <row r="2125" spans="1:12" x14ac:dyDescent="0.2">
      <c r="A2125">
        <v>2124</v>
      </c>
      <c r="B2125">
        <v>3</v>
      </c>
      <c r="C2125">
        <v>107</v>
      </c>
      <c r="D2125">
        <v>62</v>
      </c>
      <c r="E2125">
        <v>13</v>
      </c>
      <c r="F2125">
        <v>48</v>
      </c>
      <c r="G2125">
        <v>22.9</v>
      </c>
      <c r="H2125">
        <v>0.67800000000000005</v>
      </c>
      <c r="I2125">
        <v>23</v>
      </c>
      <c r="J2125">
        <v>1</v>
      </c>
      <c r="K2125" t="str">
        <f t="shared" si="66"/>
        <v>Young</v>
      </c>
      <c r="L2125" t="str">
        <f t="shared" si="67"/>
        <v>Normal</v>
      </c>
    </row>
    <row r="2126" spans="1:12" x14ac:dyDescent="0.2">
      <c r="A2126">
        <v>2125</v>
      </c>
      <c r="B2126">
        <v>4</v>
      </c>
      <c r="C2126">
        <v>109</v>
      </c>
      <c r="D2126">
        <v>64</v>
      </c>
      <c r="E2126">
        <v>44</v>
      </c>
      <c r="F2126">
        <v>99</v>
      </c>
      <c r="G2126">
        <v>34.799999999999997</v>
      </c>
      <c r="H2126">
        <v>0.90500000000000003</v>
      </c>
      <c r="I2126">
        <v>26</v>
      </c>
      <c r="J2126">
        <v>1</v>
      </c>
      <c r="K2126" t="str">
        <f t="shared" si="66"/>
        <v>Young</v>
      </c>
      <c r="L2126" t="str">
        <f t="shared" si="67"/>
        <v>Obese</v>
      </c>
    </row>
    <row r="2127" spans="1:12" x14ac:dyDescent="0.2">
      <c r="A2127">
        <v>2126</v>
      </c>
      <c r="B2127">
        <v>4</v>
      </c>
      <c r="C2127">
        <v>148</v>
      </c>
      <c r="D2127">
        <v>60</v>
      </c>
      <c r="E2127">
        <v>27</v>
      </c>
      <c r="F2127">
        <v>318</v>
      </c>
      <c r="G2127">
        <v>30.9</v>
      </c>
      <c r="H2127">
        <v>0.15</v>
      </c>
      <c r="I2127">
        <v>29</v>
      </c>
      <c r="J2127">
        <v>1</v>
      </c>
      <c r="K2127" t="str">
        <f t="shared" si="66"/>
        <v>Young</v>
      </c>
      <c r="L2127" t="str">
        <f t="shared" si="67"/>
        <v>Obese</v>
      </c>
    </row>
    <row r="2128" spans="1:12" x14ac:dyDescent="0.2">
      <c r="A2128">
        <v>2127</v>
      </c>
      <c r="B2128">
        <v>0</v>
      </c>
      <c r="C2128">
        <v>113</v>
      </c>
      <c r="D2128">
        <v>80</v>
      </c>
      <c r="E2128">
        <v>16</v>
      </c>
      <c r="F2128">
        <v>0</v>
      </c>
      <c r="G2128">
        <v>31</v>
      </c>
      <c r="H2128">
        <v>0.874</v>
      </c>
      <c r="I2128">
        <v>21</v>
      </c>
      <c r="J2128">
        <v>0</v>
      </c>
      <c r="K2128" t="str">
        <f t="shared" si="66"/>
        <v>Young</v>
      </c>
      <c r="L2128" t="str">
        <f t="shared" si="67"/>
        <v>Obese</v>
      </c>
    </row>
    <row r="2129" spans="1:12" x14ac:dyDescent="0.2">
      <c r="A2129">
        <v>2128</v>
      </c>
      <c r="B2129">
        <v>1</v>
      </c>
      <c r="C2129">
        <v>138</v>
      </c>
      <c r="D2129">
        <v>82</v>
      </c>
      <c r="E2129">
        <v>0</v>
      </c>
      <c r="F2129">
        <v>0</v>
      </c>
      <c r="G2129">
        <v>40.1</v>
      </c>
      <c r="H2129">
        <v>0.23599999999999999</v>
      </c>
      <c r="I2129">
        <v>28</v>
      </c>
      <c r="J2129">
        <v>0</v>
      </c>
      <c r="K2129" t="str">
        <f t="shared" si="66"/>
        <v>Young</v>
      </c>
      <c r="L2129" t="str">
        <f t="shared" si="67"/>
        <v>Obese</v>
      </c>
    </row>
    <row r="2130" spans="1:12" x14ac:dyDescent="0.2">
      <c r="A2130">
        <v>2129</v>
      </c>
      <c r="B2130">
        <v>0</v>
      </c>
      <c r="C2130">
        <v>108</v>
      </c>
      <c r="D2130">
        <v>68</v>
      </c>
      <c r="E2130">
        <v>20</v>
      </c>
      <c r="F2130">
        <v>0</v>
      </c>
      <c r="G2130">
        <v>27.3</v>
      </c>
      <c r="H2130">
        <v>0.78700000000000003</v>
      </c>
      <c r="I2130">
        <v>32</v>
      </c>
      <c r="J2130">
        <v>0</v>
      </c>
      <c r="K2130" t="str">
        <f t="shared" si="66"/>
        <v>Middle-Aged</v>
      </c>
      <c r="L2130" t="str">
        <f t="shared" si="67"/>
        <v>Overweight</v>
      </c>
    </row>
    <row r="2131" spans="1:12" x14ac:dyDescent="0.2">
      <c r="A2131">
        <v>2130</v>
      </c>
      <c r="B2131">
        <v>2</v>
      </c>
      <c r="C2131">
        <v>99</v>
      </c>
      <c r="D2131">
        <v>70</v>
      </c>
      <c r="E2131">
        <v>16</v>
      </c>
      <c r="F2131">
        <v>44</v>
      </c>
      <c r="G2131">
        <v>20.399999999999999</v>
      </c>
      <c r="H2131">
        <v>0.23499999999999999</v>
      </c>
      <c r="I2131">
        <v>27</v>
      </c>
      <c r="J2131">
        <v>0</v>
      </c>
      <c r="K2131" t="str">
        <f t="shared" si="66"/>
        <v>Young</v>
      </c>
      <c r="L2131" t="str">
        <f t="shared" si="67"/>
        <v>Normal</v>
      </c>
    </row>
    <row r="2132" spans="1:12" x14ac:dyDescent="0.2">
      <c r="A2132">
        <v>2131</v>
      </c>
      <c r="B2132">
        <v>6</v>
      </c>
      <c r="C2132">
        <v>103</v>
      </c>
      <c r="D2132">
        <v>72</v>
      </c>
      <c r="E2132">
        <v>32</v>
      </c>
      <c r="F2132">
        <v>190</v>
      </c>
      <c r="G2132">
        <v>37.700000000000003</v>
      </c>
      <c r="H2132">
        <v>0.32400000000000001</v>
      </c>
      <c r="I2132">
        <v>55</v>
      </c>
      <c r="J2132">
        <v>0</v>
      </c>
      <c r="K2132" t="str">
        <f t="shared" si="66"/>
        <v>Senior</v>
      </c>
      <c r="L2132" t="str">
        <f t="shared" si="67"/>
        <v>Obese</v>
      </c>
    </row>
    <row r="2133" spans="1:12" x14ac:dyDescent="0.2">
      <c r="A2133">
        <v>2132</v>
      </c>
      <c r="B2133">
        <v>5</v>
      </c>
      <c r="C2133">
        <v>111</v>
      </c>
      <c r="D2133">
        <v>72</v>
      </c>
      <c r="E2133">
        <v>28</v>
      </c>
      <c r="F2133">
        <v>0</v>
      </c>
      <c r="G2133">
        <v>23.9</v>
      </c>
      <c r="H2133">
        <v>0.40699999999999997</v>
      </c>
      <c r="I2133">
        <v>27</v>
      </c>
      <c r="J2133">
        <v>0</v>
      </c>
      <c r="K2133" t="str">
        <f t="shared" si="66"/>
        <v>Young</v>
      </c>
      <c r="L2133" t="str">
        <f t="shared" si="67"/>
        <v>Normal</v>
      </c>
    </row>
    <row r="2134" spans="1:12" x14ac:dyDescent="0.2">
      <c r="A2134">
        <v>2133</v>
      </c>
      <c r="B2134">
        <v>8</v>
      </c>
      <c r="C2134">
        <v>196</v>
      </c>
      <c r="D2134">
        <v>76</v>
      </c>
      <c r="E2134">
        <v>29</v>
      </c>
      <c r="F2134">
        <v>280</v>
      </c>
      <c r="G2134">
        <v>37.5</v>
      </c>
      <c r="H2134">
        <v>0.60499999999999998</v>
      </c>
      <c r="I2134">
        <v>57</v>
      </c>
      <c r="J2134">
        <v>1</v>
      </c>
      <c r="K2134" t="str">
        <f t="shared" si="66"/>
        <v>Senior</v>
      </c>
      <c r="L2134" t="str">
        <f t="shared" si="67"/>
        <v>Obese</v>
      </c>
    </row>
    <row r="2135" spans="1:12" x14ac:dyDescent="0.2">
      <c r="A2135">
        <v>2134</v>
      </c>
      <c r="B2135">
        <v>5</v>
      </c>
      <c r="C2135">
        <v>162</v>
      </c>
      <c r="D2135">
        <v>104</v>
      </c>
      <c r="E2135">
        <v>0</v>
      </c>
      <c r="F2135">
        <v>0</v>
      </c>
      <c r="G2135">
        <v>37.700000000000003</v>
      </c>
      <c r="H2135">
        <v>0.151</v>
      </c>
      <c r="I2135">
        <v>52</v>
      </c>
      <c r="J2135">
        <v>1</v>
      </c>
      <c r="K2135" t="str">
        <f t="shared" si="66"/>
        <v>Senior</v>
      </c>
      <c r="L2135" t="str">
        <f t="shared" si="67"/>
        <v>Obese</v>
      </c>
    </row>
    <row r="2136" spans="1:12" x14ac:dyDescent="0.2">
      <c r="A2136">
        <v>2135</v>
      </c>
      <c r="B2136">
        <v>1</v>
      </c>
      <c r="C2136">
        <v>96</v>
      </c>
      <c r="D2136">
        <v>64</v>
      </c>
      <c r="E2136">
        <v>27</v>
      </c>
      <c r="F2136">
        <v>87</v>
      </c>
      <c r="G2136">
        <v>33.200000000000003</v>
      </c>
      <c r="H2136">
        <v>0.28899999999999998</v>
      </c>
      <c r="I2136">
        <v>21</v>
      </c>
      <c r="J2136">
        <v>0</v>
      </c>
      <c r="K2136" t="str">
        <f t="shared" si="66"/>
        <v>Young</v>
      </c>
      <c r="L2136" t="str">
        <f t="shared" si="67"/>
        <v>Obese</v>
      </c>
    </row>
    <row r="2137" spans="1:12" x14ac:dyDescent="0.2">
      <c r="A2137">
        <v>2136</v>
      </c>
      <c r="B2137">
        <v>7</v>
      </c>
      <c r="C2137">
        <v>184</v>
      </c>
      <c r="D2137">
        <v>84</v>
      </c>
      <c r="E2137">
        <v>33</v>
      </c>
      <c r="F2137">
        <v>0</v>
      </c>
      <c r="G2137">
        <v>35.5</v>
      </c>
      <c r="H2137">
        <v>0.35499999999999998</v>
      </c>
      <c r="I2137">
        <v>41</v>
      </c>
      <c r="J2137">
        <v>1</v>
      </c>
      <c r="K2137" t="str">
        <f t="shared" si="66"/>
        <v>Middle-Aged</v>
      </c>
      <c r="L2137" t="str">
        <f t="shared" si="67"/>
        <v>Obese</v>
      </c>
    </row>
    <row r="2138" spans="1:12" x14ac:dyDescent="0.2">
      <c r="A2138">
        <v>2137</v>
      </c>
      <c r="B2138">
        <v>2</v>
      </c>
      <c r="C2138">
        <v>81</v>
      </c>
      <c r="D2138">
        <v>60</v>
      </c>
      <c r="E2138">
        <v>22</v>
      </c>
      <c r="F2138">
        <v>0</v>
      </c>
      <c r="G2138">
        <v>27.7</v>
      </c>
      <c r="H2138">
        <v>0.28999999999999998</v>
      </c>
      <c r="I2138">
        <v>25</v>
      </c>
      <c r="J2138">
        <v>0</v>
      </c>
      <c r="K2138" t="str">
        <f t="shared" si="66"/>
        <v>Young</v>
      </c>
      <c r="L2138" t="str">
        <f t="shared" si="67"/>
        <v>Overweight</v>
      </c>
    </row>
    <row r="2139" spans="1:12" x14ac:dyDescent="0.2">
      <c r="A2139">
        <v>2138</v>
      </c>
      <c r="B2139">
        <v>0</v>
      </c>
      <c r="C2139">
        <v>147</v>
      </c>
      <c r="D2139">
        <v>85</v>
      </c>
      <c r="E2139">
        <v>54</v>
      </c>
      <c r="F2139">
        <v>0</v>
      </c>
      <c r="G2139">
        <v>42.8</v>
      </c>
      <c r="H2139">
        <v>0.375</v>
      </c>
      <c r="I2139">
        <v>24</v>
      </c>
      <c r="J2139">
        <v>0</v>
      </c>
      <c r="K2139" t="str">
        <f t="shared" si="66"/>
        <v>Young</v>
      </c>
      <c r="L2139" t="str">
        <f t="shared" si="67"/>
        <v>Obese</v>
      </c>
    </row>
    <row r="2140" spans="1:12" x14ac:dyDescent="0.2">
      <c r="A2140">
        <v>2139</v>
      </c>
      <c r="B2140">
        <v>7</v>
      </c>
      <c r="C2140">
        <v>179</v>
      </c>
      <c r="D2140">
        <v>95</v>
      </c>
      <c r="E2140">
        <v>31</v>
      </c>
      <c r="F2140">
        <v>0</v>
      </c>
      <c r="G2140">
        <v>34.200000000000003</v>
      </c>
      <c r="H2140">
        <v>0.16400000000000001</v>
      </c>
      <c r="I2140">
        <v>60</v>
      </c>
      <c r="J2140">
        <v>0</v>
      </c>
      <c r="K2140" t="str">
        <f t="shared" si="66"/>
        <v>Senior</v>
      </c>
      <c r="L2140" t="str">
        <f t="shared" si="67"/>
        <v>Obese</v>
      </c>
    </row>
    <row r="2141" spans="1:12" x14ac:dyDescent="0.2">
      <c r="A2141">
        <v>2140</v>
      </c>
      <c r="B2141">
        <v>0</v>
      </c>
      <c r="C2141">
        <v>140</v>
      </c>
      <c r="D2141">
        <v>65</v>
      </c>
      <c r="E2141">
        <v>26</v>
      </c>
      <c r="F2141">
        <v>130</v>
      </c>
      <c r="G2141">
        <v>42.6</v>
      </c>
      <c r="H2141">
        <v>0.43099999999999999</v>
      </c>
      <c r="I2141">
        <v>24</v>
      </c>
      <c r="J2141">
        <v>1</v>
      </c>
      <c r="K2141" t="str">
        <f t="shared" si="66"/>
        <v>Young</v>
      </c>
      <c r="L2141" t="str">
        <f t="shared" si="67"/>
        <v>Obese</v>
      </c>
    </row>
    <row r="2142" spans="1:12" x14ac:dyDescent="0.2">
      <c r="A2142">
        <v>2141</v>
      </c>
      <c r="B2142">
        <v>9</v>
      </c>
      <c r="C2142">
        <v>112</v>
      </c>
      <c r="D2142">
        <v>82</v>
      </c>
      <c r="E2142">
        <v>32</v>
      </c>
      <c r="F2142">
        <v>175</v>
      </c>
      <c r="G2142">
        <v>34.200000000000003</v>
      </c>
      <c r="H2142">
        <v>0.26</v>
      </c>
      <c r="I2142">
        <v>36</v>
      </c>
      <c r="J2142">
        <v>1</v>
      </c>
      <c r="K2142" t="str">
        <f t="shared" si="66"/>
        <v>Middle-Aged</v>
      </c>
      <c r="L2142" t="str">
        <f t="shared" si="67"/>
        <v>Obese</v>
      </c>
    </row>
    <row r="2143" spans="1:12" x14ac:dyDescent="0.2">
      <c r="A2143">
        <v>2142</v>
      </c>
      <c r="B2143">
        <v>12</v>
      </c>
      <c r="C2143">
        <v>151</v>
      </c>
      <c r="D2143">
        <v>70</v>
      </c>
      <c r="E2143">
        <v>40</v>
      </c>
      <c r="F2143">
        <v>271</v>
      </c>
      <c r="G2143">
        <v>41.8</v>
      </c>
      <c r="H2143">
        <v>0.74199999999999999</v>
      </c>
      <c r="I2143">
        <v>38</v>
      </c>
      <c r="J2143">
        <v>1</v>
      </c>
      <c r="K2143" t="str">
        <f t="shared" si="66"/>
        <v>Middle-Aged</v>
      </c>
      <c r="L2143" t="str">
        <f t="shared" si="67"/>
        <v>Obese</v>
      </c>
    </row>
    <row r="2144" spans="1:12" x14ac:dyDescent="0.2">
      <c r="A2144">
        <v>2143</v>
      </c>
      <c r="B2144">
        <v>5</v>
      </c>
      <c r="C2144">
        <v>109</v>
      </c>
      <c r="D2144">
        <v>62</v>
      </c>
      <c r="E2144">
        <v>41</v>
      </c>
      <c r="F2144">
        <v>129</v>
      </c>
      <c r="G2144">
        <v>35.799999999999997</v>
      </c>
      <c r="H2144">
        <v>0.51400000000000001</v>
      </c>
      <c r="I2144">
        <v>25</v>
      </c>
      <c r="J2144">
        <v>1</v>
      </c>
      <c r="K2144" t="str">
        <f t="shared" si="66"/>
        <v>Young</v>
      </c>
      <c r="L2144" t="str">
        <f t="shared" si="67"/>
        <v>Obese</v>
      </c>
    </row>
    <row r="2145" spans="1:12" x14ac:dyDescent="0.2">
      <c r="A2145">
        <v>2144</v>
      </c>
      <c r="B2145">
        <v>6</v>
      </c>
      <c r="C2145">
        <v>125</v>
      </c>
      <c r="D2145">
        <v>68</v>
      </c>
      <c r="E2145">
        <v>30</v>
      </c>
      <c r="F2145">
        <v>120</v>
      </c>
      <c r="G2145">
        <v>30</v>
      </c>
      <c r="H2145">
        <v>0.46400000000000002</v>
      </c>
      <c r="I2145">
        <v>32</v>
      </c>
      <c r="J2145">
        <v>0</v>
      </c>
      <c r="K2145" t="str">
        <f t="shared" si="66"/>
        <v>Middle-Aged</v>
      </c>
      <c r="L2145" t="str">
        <f t="shared" si="67"/>
        <v>Obese</v>
      </c>
    </row>
    <row r="2146" spans="1:12" x14ac:dyDescent="0.2">
      <c r="A2146">
        <v>2145</v>
      </c>
      <c r="B2146">
        <v>5</v>
      </c>
      <c r="C2146">
        <v>85</v>
      </c>
      <c r="D2146">
        <v>74</v>
      </c>
      <c r="E2146">
        <v>22</v>
      </c>
      <c r="F2146">
        <v>0</v>
      </c>
      <c r="G2146">
        <v>29</v>
      </c>
      <c r="H2146">
        <v>1.224</v>
      </c>
      <c r="I2146">
        <v>32</v>
      </c>
      <c r="J2146">
        <v>1</v>
      </c>
      <c r="K2146" t="str">
        <f t="shared" si="66"/>
        <v>Middle-Aged</v>
      </c>
      <c r="L2146" t="str">
        <f t="shared" si="67"/>
        <v>Overweight</v>
      </c>
    </row>
    <row r="2147" spans="1:12" x14ac:dyDescent="0.2">
      <c r="A2147">
        <v>2146</v>
      </c>
      <c r="B2147">
        <v>5</v>
      </c>
      <c r="C2147">
        <v>112</v>
      </c>
      <c r="D2147">
        <v>66</v>
      </c>
      <c r="E2147">
        <v>0</v>
      </c>
      <c r="F2147">
        <v>0</v>
      </c>
      <c r="G2147">
        <v>37.799999999999997</v>
      </c>
      <c r="H2147">
        <v>0.26100000000000001</v>
      </c>
      <c r="I2147">
        <v>41</v>
      </c>
      <c r="J2147">
        <v>1</v>
      </c>
      <c r="K2147" t="str">
        <f t="shared" si="66"/>
        <v>Middle-Aged</v>
      </c>
      <c r="L2147" t="str">
        <f t="shared" si="67"/>
        <v>Obese</v>
      </c>
    </row>
    <row r="2148" spans="1:12" x14ac:dyDescent="0.2">
      <c r="A2148">
        <v>2147</v>
      </c>
      <c r="B2148">
        <v>0</v>
      </c>
      <c r="C2148">
        <v>177</v>
      </c>
      <c r="D2148">
        <v>60</v>
      </c>
      <c r="E2148">
        <v>29</v>
      </c>
      <c r="F2148">
        <v>478</v>
      </c>
      <c r="G2148">
        <v>34.6</v>
      </c>
      <c r="H2148">
        <v>1.0720000000000001</v>
      </c>
      <c r="I2148">
        <v>21</v>
      </c>
      <c r="J2148">
        <v>1</v>
      </c>
      <c r="K2148" t="str">
        <f t="shared" si="66"/>
        <v>Young</v>
      </c>
      <c r="L2148" t="str">
        <f t="shared" si="67"/>
        <v>Obese</v>
      </c>
    </row>
    <row r="2149" spans="1:12" x14ac:dyDescent="0.2">
      <c r="A2149">
        <v>2148</v>
      </c>
      <c r="B2149">
        <v>2</v>
      </c>
      <c r="C2149">
        <v>158</v>
      </c>
      <c r="D2149">
        <v>90</v>
      </c>
      <c r="E2149">
        <v>0</v>
      </c>
      <c r="F2149">
        <v>0</v>
      </c>
      <c r="G2149">
        <v>31.6</v>
      </c>
      <c r="H2149">
        <v>0.80500000000000005</v>
      </c>
      <c r="I2149">
        <v>66</v>
      </c>
      <c r="J2149">
        <v>1</v>
      </c>
      <c r="K2149" t="str">
        <f t="shared" si="66"/>
        <v>Senior</v>
      </c>
      <c r="L2149" t="str">
        <f t="shared" si="67"/>
        <v>Obese</v>
      </c>
    </row>
    <row r="2150" spans="1:12" x14ac:dyDescent="0.2">
      <c r="A2150">
        <v>2149</v>
      </c>
      <c r="B2150">
        <v>7</v>
      </c>
      <c r="C2150">
        <v>119</v>
      </c>
      <c r="D2150">
        <v>121</v>
      </c>
      <c r="E2150">
        <v>0</v>
      </c>
      <c r="F2150">
        <v>0</v>
      </c>
      <c r="G2150">
        <v>25.2</v>
      </c>
      <c r="H2150">
        <v>0.20899999999999999</v>
      </c>
      <c r="I2150">
        <v>37</v>
      </c>
      <c r="J2150">
        <v>0</v>
      </c>
      <c r="K2150" t="str">
        <f t="shared" si="66"/>
        <v>Middle-Aged</v>
      </c>
      <c r="L2150" t="str">
        <f t="shared" si="67"/>
        <v>Overweight</v>
      </c>
    </row>
    <row r="2151" spans="1:12" x14ac:dyDescent="0.2">
      <c r="A2151">
        <v>2150</v>
      </c>
      <c r="B2151">
        <v>7</v>
      </c>
      <c r="C2151">
        <v>142</v>
      </c>
      <c r="D2151">
        <v>60</v>
      </c>
      <c r="E2151">
        <v>33</v>
      </c>
      <c r="F2151">
        <v>190</v>
      </c>
      <c r="G2151">
        <v>28.8</v>
      </c>
      <c r="H2151">
        <v>0.68700000000000006</v>
      </c>
      <c r="I2151">
        <v>61</v>
      </c>
      <c r="J2151">
        <v>0</v>
      </c>
      <c r="K2151" t="str">
        <f t="shared" si="66"/>
        <v>Senior</v>
      </c>
      <c r="L2151" t="str">
        <f t="shared" si="67"/>
        <v>Overweight</v>
      </c>
    </row>
    <row r="2152" spans="1:12" x14ac:dyDescent="0.2">
      <c r="A2152">
        <v>2151</v>
      </c>
      <c r="B2152">
        <v>1</v>
      </c>
      <c r="C2152">
        <v>100</v>
      </c>
      <c r="D2152">
        <v>66</v>
      </c>
      <c r="E2152">
        <v>15</v>
      </c>
      <c r="F2152">
        <v>56</v>
      </c>
      <c r="G2152">
        <v>23.6</v>
      </c>
      <c r="H2152">
        <v>0.66600000000000004</v>
      </c>
      <c r="I2152">
        <v>26</v>
      </c>
      <c r="J2152">
        <v>0</v>
      </c>
      <c r="K2152" t="str">
        <f t="shared" si="66"/>
        <v>Young</v>
      </c>
      <c r="L2152" t="str">
        <f t="shared" si="67"/>
        <v>Normal</v>
      </c>
    </row>
    <row r="2153" spans="1:12" x14ac:dyDescent="0.2">
      <c r="A2153">
        <v>2152</v>
      </c>
      <c r="B2153">
        <v>1</v>
      </c>
      <c r="C2153">
        <v>87</v>
      </c>
      <c r="D2153">
        <v>78</v>
      </c>
      <c r="E2153">
        <v>27</v>
      </c>
      <c r="F2153">
        <v>32</v>
      </c>
      <c r="G2153">
        <v>34.6</v>
      </c>
      <c r="H2153">
        <v>0.10100000000000001</v>
      </c>
      <c r="I2153">
        <v>22</v>
      </c>
      <c r="J2153">
        <v>0</v>
      </c>
      <c r="K2153" t="str">
        <f t="shared" si="66"/>
        <v>Young</v>
      </c>
      <c r="L2153" t="str">
        <f t="shared" si="67"/>
        <v>Obese</v>
      </c>
    </row>
    <row r="2154" spans="1:12" x14ac:dyDescent="0.2">
      <c r="A2154">
        <v>2153</v>
      </c>
      <c r="B2154">
        <v>0</v>
      </c>
      <c r="C2154">
        <v>101</v>
      </c>
      <c r="D2154">
        <v>76</v>
      </c>
      <c r="E2154">
        <v>0</v>
      </c>
      <c r="F2154">
        <v>0</v>
      </c>
      <c r="G2154">
        <v>35.700000000000003</v>
      </c>
      <c r="H2154">
        <v>0.19800000000000001</v>
      </c>
      <c r="I2154">
        <v>26</v>
      </c>
      <c r="J2154">
        <v>0</v>
      </c>
      <c r="K2154" t="str">
        <f t="shared" si="66"/>
        <v>Young</v>
      </c>
      <c r="L2154" t="str">
        <f t="shared" si="67"/>
        <v>Obese</v>
      </c>
    </row>
    <row r="2155" spans="1:12" x14ac:dyDescent="0.2">
      <c r="A2155">
        <v>2154</v>
      </c>
      <c r="B2155">
        <v>3</v>
      </c>
      <c r="C2155">
        <v>162</v>
      </c>
      <c r="D2155">
        <v>52</v>
      </c>
      <c r="E2155">
        <v>38</v>
      </c>
      <c r="F2155">
        <v>0</v>
      </c>
      <c r="G2155">
        <v>37.200000000000003</v>
      </c>
      <c r="H2155">
        <v>0.65200000000000002</v>
      </c>
      <c r="I2155">
        <v>24</v>
      </c>
      <c r="J2155">
        <v>1</v>
      </c>
      <c r="K2155" t="str">
        <f t="shared" si="66"/>
        <v>Young</v>
      </c>
      <c r="L2155" t="str">
        <f t="shared" si="67"/>
        <v>Obese</v>
      </c>
    </row>
    <row r="2156" spans="1:12" x14ac:dyDescent="0.2">
      <c r="A2156">
        <v>2155</v>
      </c>
      <c r="B2156">
        <v>4</v>
      </c>
      <c r="C2156">
        <v>197</v>
      </c>
      <c r="D2156">
        <v>70</v>
      </c>
      <c r="E2156">
        <v>39</v>
      </c>
      <c r="F2156">
        <v>744</v>
      </c>
      <c r="G2156">
        <v>36.700000000000003</v>
      </c>
      <c r="H2156">
        <v>2.3290000000000002</v>
      </c>
      <c r="I2156">
        <v>31</v>
      </c>
      <c r="J2156">
        <v>0</v>
      </c>
      <c r="K2156" t="str">
        <f t="shared" si="66"/>
        <v>Middle-Aged</v>
      </c>
      <c r="L2156" t="str">
        <f t="shared" si="67"/>
        <v>Obese</v>
      </c>
    </row>
    <row r="2157" spans="1:12" x14ac:dyDescent="0.2">
      <c r="A2157">
        <v>2156</v>
      </c>
      <c r="B2157">
        <v>0</v>
      </c>
      <c r="C2157">
        <v>117</v>
      </c>
      <c r="D2157">
        <v>80</v>
      </c>
      <c r="E2157">
        <v>31</v>
      </c>
      <c r="F2157">
        <v>53</v>
      </c>
      <c r="G2157">
        <v>45.2</v>
      </c>
      <c r="H2157">
        <v>8.8999999999999996E-2</v>
      </c>
      <c r="I2157">
        <v>24</v>
      </c>
      <c r="J2157">
        <v>0</v>
      </c>
      <c r="K2157" t="str">
        <f t="shared" si="66"/>
        <v>Young</v>
      </c>
      <c r="L2157" t="str">
        <f t="shared" si="67"/>
        <v>Obese</v>
      </c>
    </row>
    <row r="2158" spans="1:12" x14ac:dyDescent="0.2">
      <c r="A2158">
        <v>2157</v>
      </c>
      <c r="B2158">
        <v>4</v>
      </c>
      <c r="C2158">
        <v>142</v>
      </c>
      <c r="D2158">
        <v>86</v>
      </c>
      <c r="E2158">
        <v>0</v>
      </c>
      <c r="F2158">
        <v>0</v>
      </c>
      <c r="G2158">
        <v>44</v>
      </c>
      <c r="H2158">
        <v>0.64500000000000002</v>
      </c>
      <c r="I2158">
        <v>22</v>
      </c>
      <c r="J2158">
        <v>1</v>
      </c>
      <c r="K2158" t="str">
        <f t="shared" si="66"/>
        <v>Young</v>
      </c>
      <c r="L2158" t="str">
        <f t="shared" si="67"/>
        <v>Obese</v>
      </c>
    </row>
    <row r="2159" spans="1:12" x14ac:dyDescent="0.2">
      <c r="A2159">
        <v>2158</v>
      </c>
      <c r="B2159">
        <v>6</v>
      </c>
      <c r="C2159">
        <v>134</v>
      </c>
      <c r="D2159">
        <v>80</v>
      </c>
      <c r="E2159">
        <v>37</v>
      </c>
      <c r="F2159">
        <v>370</v>
      </c>
      <c r="G2159">
        <v>46.2</v>
      </c>
      <c r="H2159">
        <v>0.23799999999999999</v>
      </c>
      <c r="I2159">
        <v>46</v>
      </c>
      <c r="J2159">
        <v>1</v>
      </c>
      <c r="K2159" t="str">
        <f t="shared" si="66"/>
        <v>Senior</v>
      </c>
      <c r="L2159" t="str">
        <f t="shared" si="67"/>
        <v>Obese</v>
      </c>
    </row>
    <row r="2160" spans="1:12" x14ac:dyDescent="0.2">
      <c r="A2160">
        <v>2159</v>
      </c>
      <c r="B2160">
        <v>1</v>
      </c>
      <c r="C2160">
        <v>79</v>
      </c>
      <c r="D2160">
        <v>80</v>
      </c>
      <c r="E2160">
        <v>25</v>
      </c>
      <c r="F2160">
        <v>37</v>
      </c>
      <c r="G2160">
        <v>25.4</v>
      </c>
      <c r="H2160">
        <v>0.58299999999999996</v>
      </c>
      <c r="I2160">
        <v>22</v>
      </c>
      <c r="J2160">
        <v>0</v>
      </c>
      <c r="K2160" t="str">
        <f t="shared" si="66"/>
        <v>Young</v>
      </c>
      <c r="L2160" t="str">
        <f t="shared" si="67"/>
        <v>Overweight</v>
      </c>
    </row>
    <row r="2161" spans="1:12" x14ac:dyDescent="0.2">
      <c r="A2161">
        <v>2160</v>
      </c>
      <c r="B2161">
        <v>4</v>
      </c>
      <c r="C2161">
        <v>122</v>
      </c>
      <c r="D2161">
        <v>68</v>
      </c>
      <c r="E2161">
        <v>0</v>
      </c>
      <c r="F2161">
        <v>0</v>
      </c>
      <c r="G2161">
        <v>35</v>
      </c>
      <c r="H2161">
        <v>0.39400000000000002</v>
      </c>
      <c r="I2161">
        <v>29</v>
      </c>
      <c r="J2161">
        <v>0</v>
      </c>
      <c r="K2161" t="str">
        <f t="shared" si="66"/>
        <v>Young</v>
      </c>
      <c r="L2161" t="str">
        <f t="shared" si="67"/>
        <v>Obese</v>
      </c>
    </row>
    <row r="2162" spans="1:12" x14ac:dyDescent="0.2">
      <c r="A2162">
        <v>2161</v>
      </c>
      <c r="B2162">
        <v>3</v>
      </c>
      <c r="C2162">
        <v>74</v>
      </c>
      <c r="D2162">
        <v>68</v>
      </c>
      <c r="E2162">
        <v>28</v>
      </c>
      <c r="F2162">
        <v>45</v>
      </c>
      <c r="G2162">
        <v>29.7</v>
      </c>
      <c r="H2162">
        <v>0.29299999999999998</v>
      </c>
      <c r="I2162">
        <v>23</v>
      </c>
      <c r="J2162">
        <v>0</v>
      </c>
      <c r="K2162" t="str">
        <f t="shared" si="66"/>
        <v>Young</v>
      </c>
      <c r="L2162" t="str">
        <f t="shared" si="67"/>
        <v>Overweight</v>
      </c>
    </row>
    <row r="2163" spans="1:12" x14ac:dyDescent="0.2">
      <c r="A2163">
        <v>2162</v>
      </c>
      <c r="B2163">
        <v>4</v>
      </c>
      <c r="C2163">
        <v>171</v>
      </c>
      <c r="D2163">
        <v>72</v>
      </c>
      <c r="E2163">
        <v>0</v>
      </c>
      <c r="F2163">
        <v>0</v>
      </c>
      <c r="G2163">
        <v>43.6</v>
      </c>
      <c r="H2163">
        <v>0.47899999999999998</v>
      </c>
      <c r="I2163">
        <v>26</v>
      </c>
      <c r="J2163">
        <v>1</v>
      </c>
      <c r="K2163" t="str">
        <f t="shared" si="66"/>
        <v>Young</v>
      </c>
      <c r="L2163" t="str">
        <f t="shared" si="67"/>
        <v>Obese</v>
      </c>
    </row>
    <row r="2164" spans="1:12" x14ac:dyDescent="0.2">
      <c r="A2164">
        <v>2163</v>
      </c>
      <c r="B2164">
        <v>7</v>
      </c>
      <c r="C2164">
        <v>181</v>
      </c>
      <c r="D2164">
        <v>84</v>
      </c>
      <c r="E2164">
        <v>21</v>
      </c>
      <c r="F2164">
        <v>192</v>
      </c>
      <c r="G2164">
        <v>35.9</v>
      </c>
      <c r="H2164">
        <v>0.58599999999999997</v>
      </c>
      <c r="I2164">
        <v>51</v>
      </c>
      <c r="J2164">
        <v>1</v>
      </c>
      <c r="K2164" t="str">
        <f t="shared" si="66"/>
        <v>Senior</v>
      </c>
      <c r="L2164" t="str">
        <f t="shared" si="67"/>
        <v>Obese</v>
      </c>
    </row>
    <row r="2165" spans="1:12" x14ac:dyDescent="0.2">
      <c r="A2165">
        <v>2164</v>
      </c>
      <c r="B2165">
        <v>0</v>
      </c>
      <c r="C2165">
        <v>179</v>
      </c>
      <c r="D2165">
        <v>90</v>
      </c>
      <c r="E2165">
        <v>27</v>
      </c>
      <c r="F2165">
        <v>0</v>
      </c>
      <c r="G2165">
        <v>44.1</v>
      </c>
      <c r="H2165">
        <v>0.68600000000000005</v>
      </c>
      <c r="I2165">
        <v>23</v>
      </c>
      <c r="J2165">
        <v>1</v>
      </c>
      <c r="K2165" t="str">
        <f t="shared" si="66"/>
        <v>Young</v>
      </c>
      <c r="L2165" t="str">
        <f t="shared" si="67"/>
        <v>Obese</v>
      </c>
    </row>
    <row r="2166" spans="1:12" x14ac:dyDescent="0.2">
      <c r="A2166">
        <v>2165</v>
      </c>
      <c r="B2166">
        <v>9</v>
      </c>
      <c r="C2166">
        <v>164</v>
      </c>
      <c r="D2166">
        <v>84</v>
      </c>
      <c r="E2166">
        <v>21</v>
      </c>
      <c r="F2166">
        <v>0</v>
      </c>
      <c r="G2166">
        <v>30.8</v>
      </c>
      <c r="H2166">
        <v>0.83099999999999996</v>
      </c>
      <c r="I2166">
        <v>32</v>
      </c>
      <c r="J2166">
        <v>1</v>
      </c>
      <c r="K2166" t="str">
        <f t="shared" si="66"/>
        <v>Middle-Aged</v>
      </c>
      <c r="L2166" t="str">
        <f t="shared" si="67"/>
        <v>Obese</v>
      </c>
    </row>
    <row r="2167" spans="1:12" x14ac:dyDescent="0.2">
      <c r="A2167">
        <v>2166</v>
      </c>
      <c r="B2167">
        <v>0</v>
      </c>
      <c r="C2167">
        <v>104</v>
      </c>
      <c r="D2167">
        <v>76</v>
      </c>
      <c r="E2167">
        <v>0</v>
      </c>
      <c r="F2167">
        <v>0</v>
      </c>
      <c r="G2167">
        <v>18.399999999999999</v>
      </c>
      <c r="H2167">
        <v>0.58199999999999996</v>
      </c>
      <c r="I2167">
        <v>27</v>
      </c>
      <c r="J2167">
        <v>0</v>
      </c>
      <c r="K2167" t="str">
        <f t="shared" si="66"/>
        <v>Young</v>
      </c>
      <c r="L2167" t="str">
        <f t="shared" si="67"/>
        <v>Underweight</v>
      </c>
    </row>
    <row r="2168" spans="1:12" x14ac:dyDescent="0.2">
      <c r="A2168">
        <v>2167</v>
      </c>
      <c r="B2168">
        <v>1</v>
      </c>
      <c r="C2168">
        <v>91</v>
      </c>
      <c r="D2168">
        <v>64</v>
      </c>
      <c r="E2168">
        <v>24</v>
      </c>
      <c r="F2168">
        <v>0</v>
      </c>
      <c r="G2168">
        <v>29.2</v>
      </c>
      <c r="H2168">
        <v>0.192</v>
      </c>
      <c r="I2168">
        <v>21</v>
      </c>
      <c r="J2168">
        <v>0</v>
      </c>
      <c r="K2168" t="str">
        <f t="shared" si="66"/>
        <v>Young</v>
      </c>
      <c r="L2168" t="str">
        <f t="shared" si="67"/>
        <v>Overweight</v>
      </c>
    </row>
    <row r="2169" spans="1:12" x14ac:dyDescent="0.2">
      <c r="A2169">
        <v>2168</v>
      </c>
      <c r="B2169">
        <v>4</v>
      </c>
      <c r="C2169">
        <v>91</v>
      </c>
      <c r="D2169">
        <v>70</v>
      </c>
      <c r="E2169">
        <v>32</v>
      </c>
      <c r="F2169">
        <v>88</v>
      </c>
      <c r="G2169">
        <v>33.1</v>
      </c>
      <c r="H2169">
        <v>0.44600000000000001</v>
      </c>
      <c r="I2169">
        <v>22</v>
      </c>
      <c r="J2169">
        <v>0</v>
      </c>
      <c r="K2169" t="str">
        <f t="shared" si="66"/>
        <v>Young</v>
      </c>
      <c r="L2169" t="str">
        <f t="shared" si="67"/>
        <v>Obese</v>
      </c>
    </row>
    <row r="2170" spans="1:12" x14ac:dyDescent="0.2">
      <c r="A2170">
        <v>2169</v>
      </c>
      <c r="B2170">
        <v>3</v>
      </c>
      <c r="C2170">
        <v>139</v>
      </c>
      <c r="D2170">
        <v>54</v>
      </c>
      <c r="E2170">
        <v>0</v>
      </c>
      <c r="F2170">
        <v>0</v>
      </c>
      <c r="G2170">
        <v>25.6</v>
      </c>
      <c r="H2170">
        <v>0.40200000000000002</v>
      </c>
      <c r="I2170">
        <v>22</v>
      </c>
      <c r="J2170">
        <v>1</v>
      </c>
      <c r="K2170" t="str">
        <f t="shared" si="66"/>
        <v>Young</v>
      </c>
      <c r="L2170" t="str">
        <f t="shared" si="67"/>
        <v>Overweight</v>
      </c>
    </row>
    <row r="2171" spans="1:12" x14ac:dyDescent="0.2">
      <c r="A2171">
        <v>2170</v>
      </c>
      <c r="B2171">
        <v>6</v>
      </c>
      <c r="C2171">
        <v>119</v>
      </c>
      <c r="D2171">
        <v>50</v>
      </c>
      <c r="E2171">
        <v>22</v>
      </c>
      <c r="F2171">
        <v>176</v>
      </c>
      <c r="G2171">
        <v>27.1</v>
      </c>
      <c r="H2171">
        <v>1.3180000000000001</v>
      </c>
      <c r="I2171">
        <v>33</v>
      </c>
      <c r="J2171">
        <v>1</v>
      </c>
      <c r="K2171" t="str">
        <f t="shared" si="66"/>
        <v>Middle-Aged</v>
      </c>
      <c r="L2171" t="str">
        <f t="shared" si="67"/>
        <v>Overweight</v>
      </c>
    </row>
    <row r="2172" spans="1:12" x14ac:dyDescent="0.2">
      <c r="A2172">
        <v>2171</v>
      </c>
      <c r="B2172">
        <v>2</v>
      </c>
      <c r="C2172">
        <v>146</v>
      </c>
      <c r="D2172">
        <v>76</v>
      </c>
      <c r="E2172">
        <v>35</v>
      </c>
      <c r="F2172">
        <v>194</v>
      </c>
      <c r="G2172">
        <v>38.200000000000003</v>
      </c>
      <c r="H2172">
        <v>0.32900000000000001</v>
      </c>
      <c r="I2172">
        <v>29</v>
      </c>
      <c r="J2172">
        <v>0</v>
      </c>
      <c r="K2172" t="str">
        <f t="shared" si="66"/>
        <v>Young</v>
      </c>
      <c r="L2172" t="str">
        <f t="shared" si="67"/>
        <v>Obese</v>
      </c>
    </row>
    <row r="2173" spans="1:12" x14ac:dyDescent="0.2">
      <c r="A2173">
        <v>2172</v>
      </c>
      <c r="B2173">
        <v>9</v>
      </c>
      <c r="C2173">
        <v>184</v>
      </c>
      <c r="D2173">
        <v>85</v>
      </c>
      <c r="E2173">
        <v>15</v>
      </c>
      <c r="F2173">
        <v>0</v>
      </c>
      <c r="G2173">
        <v>30</v>
      </c>
      <c r="H2173">
        <v>1.2130000000000001</v>
      </c>
      <c r="I2173">
        <v>49</v>
      </c>
      <c r="J2173">
        <v>1</v>
      </c>
      <c r="K2173" t="str">
        <f t="shared" si="66"/>
        <v>Senior</v>
      </c>
      <c r="L2173" t="str">
        <f t="shared" si="67"/>
        <v>Obese</v>
      </c>
    </row>
    <row r="2174" spans="1:12" x14ac:dyDescent="0.2">
      <c r="A2174">
        <v>2173</v>
      </c>
      <c r="B2174">
        <v>10</v>
      </c>
      <c r="C2174">
        <v>122</v>
      </c>
      <c r="D2174">
        <v>68</v>
      </c>
      <c r="E2174">
        <v>0</v>
      </c>
      <c r="F2174">
        <v>0</v>
      </c>
      <c r="G2174">
        <v>31.2</v>
      </c>
      <c r="H2174">
        <v>0.25800000000000001</v>
      </c>
      <c r="I2174">
        <v>41</v>
      </c>
      <c r="J2174">
        <v>0</v>
      </c>
      <c r="K2174" t="str">
        <f t="shared" si="66"/>
        <v>Middle-Aged</v>
      </c>
      <c r="L2174" t="str">
        <f t="shared" si="67"/>
        <v>Obese</v>
      </c>
    </row>
    <row r="2175" spans="1:12" x14ac:dyDescent="0.2">
      <c r="A2175">
        <v>2174</v>
      </c>
      <c r="B2175">
        <v>0</v>
      </c>
      <c r="C2175">
        <v>165</v>
      </c>
      <c r="D2175">
        <v>90</v>
      </c>
      <c r="E2175">
        <v>33</v>
      </c>
      <c r="F2175">
        <v>680</v>
      </c>
      <c r="G2175">
        <v>52.3</v>
      </c>
      <c r="H2175">
        <v>0.42699999999999999</v>
      </c>
      <c r="I2175">
        <v>23</v>
      </c>
      <c r="J2175">
        <v>0</v>
      </c>
      <c r="K2175" t="str">
        <f t="shared" si="66"/>
        <v>Young</v>
      </c>
      <c r="L2175" t="str">
        <f t="shared" si="67"/>
        <v>Obese</v>
      </c>
    </row>
    <row r="2176" spans="1:12" x14ac:dyDescent="0.2">
      <c r="A2176">
        <v>2175</v>
      </c>
      <c r="B2176">
        <v>9</v>
      </c>
      <c r="C2176">
        <v>124</v>
      </c>
      <c r="D2176">
        <v>70</v>
      </c>
      <c r="E2176">
        <v>33</v>
      </c>
      <c r="F2176">
        <v>402</v>
      </c>
      <c r="G2176">
        <v>35.4</v>
      </c>
      <c r="H2176">
        <v>0.28199999999999997</v>
      </c>
      <c r="I2176">
        <v>34</v>
      </c>
      <c r="J2176">
        <v>0</v>
      </c>
      <c r="K2176" t="str">
        <f t="shared" si="66"/>
        <v>Middle-Aged</v>
      </c>
      <c r="L2176" t="str">
        <f t="shared" si="67"/>
        <v>Obese</v>
      </c>
    </row>
    <row r="2177" spans="1:12" x14ac:dyDescent="0.2">
      <c r="A2177">
        <v>2176</v>
      </c>
      <c r="B2177">
        <v>1</v>
      </c>
      <c r="C2177">
        <v>111</v>
      </c>
      <c r="D2177">
        <v>86</v>
      </c>
      <c r="E2177">
        <v>19</v>
      </c>
      <c r="F2177">
        <v>0</v>
      </c>
      <c r="G2177">
        <v>30.1</v>
      </c>
      <c r="H2177">
        <v>0.14299999999999999</v>
      </c>
      <c r="I2177">
        <v>23</v>
      </c>
      <c r="J2177">
        <v>0</v>
      </c>
      <c r="K2177" t="str">
        <f t="shared" si="66"/>
        <v>Young</v>
      </c>
      <c r="L2177" t="str">
        <f t="shared" si="67"/>
        <v>Obese</v>
      </c>
    </row>
    <row r="2178" spans="1:12" x14ac:dyDescent="0.2">
      <c r="A2178">
        <v>2177</v>
      </c>
      <c r="B2178">
        <v>9</v>
      </c>
      <c r="C2178">
        <v>106</v>
      </c>
      <c r="D2178">
        <v>52</v>
      </c>
      <c r="E2178">
        <v>0</v>
      </c>
      <c r="F2178">
        <v>0</v>
      </c>
      <c r="G2178">
        <v>31.2</v>
      </c>
      <c r="H2178">
        <v>0.38</v>
      </c>
      <c r="I2178">
        <v>42</v>
      </c>
      <c r="J2178">
        <v>0</v>
      </c>
      <c r="K2178" t="str">
        <f t="shared" si="66"/>
        <v>Middle-Aged</v>
      </c>
      <c r="L2178" t="str">
        <f t="shared" si="67"/>
        <v>Obese</v>
      </c>
    </row>
    <row r="2179" spans="1:12" x14ac:dyDescent="0.2">
      <c r="A2179">
        <v>2178</v>
      </c>
      <c r="B2179">
        <v>2</v>
      </c>
      <c r="C2179">
        <v>129</v>
      </c>
      <c r="D2179">
        <v>84</v>
      </c>
      <c r="E2179">
        <v>0</v>
      </c>
      <c r="F2179">
        <v>0</v>
      </c>
      <c r="G2179">
        <v>28</v>
      </c>
      <c r="H2179">
        <v>0.28399999999999997</v>
      </c>
      <c r="I2179">
        <v>27</v>
      </c>
      <c r="J2179">
        <v>0</v>
      </c>
      <c r="K2179" t="str">
        <f t="shared" ref="K2179:K2242" si="68">IF(I2179&lt;30, "Young", IF( I2179&lt;45, "Middle-Aged", "Senior"))</f>
        <v>Young</v>
      </c>
      <c r="L2179" t="str">
        <f t="shared" ref="L2179:L2242" si="69">IF(G2179&lt;18.5, "Underweight", IF(G2179&lt;25, "Normal", IF(G2179&lt;30, "Overweight", "Obese")))</f>
        <v>Overweight</v>
      </c>
    </row>
    <row r="2180" spans="1:12" x14ac:dyDescent="0.2">
      <c r="A2180">
        <v>2179</v>
      </c>
      <c r="B2180">
        <v>2</v>
      </c>
      <c r="C2180">
        <v>90</v>
      </c>
      <c r="D2180">
        <v>80</v>
      </c>
      <c r="E2180">
        <v>14</v>
      </c>
      <c r="F2180">
        <v>55</v>
      </c>
      <c r="G2180">
        <v>24.4</v>
      </c>
      <c r="H2180">
        <v>0.249</v>
      </c>
      <c r="I2180">
        <v>24</v>
      </c>
      <c r="J2180">
        <v>0</v>
      </c>
      <c r="K2180" t="str">
        <f t="shared" si="68"/>
        <v>Young</v>
      </c>
      <c r="L2180" t="str">
        <f t="shared" si="69"/>
        <v>Normal</v>
      </c>
    </row>
    <row r="2181" spans="1:12" x14ac:dyDescent="0.2">
      <c r="A2181">
        <v>2180</v>
      </c>
      <c r="B2181">
        <v>0</v>
      </c>
      <c r="C2181">
        <v>86</v>
      </c>
      <c r="D2181">
        <v>68</v>
      </c>
      <c r="E2181">
        <v>32</v>
      </c>
      <c r="F2181">
        <v>0</v>
      </c>
      <c r="G2181">
        <v>35.799999999999997</v>
      </c>
      <c r="H2181">
        <v>0.23799999999999999</v>
      </c>
      <c r="I2181">
        <v>25</v>
      </c>
      <c r="J2181">
        <v>0</v>
      </c>
      <c r="K2181" t="str">
        <f t="shared" si="68"/>
        <v>Young</v>
      </c>
      <c r="L2181" t="str">
        <f t="shared" si="69"/>
        <v>Obese</v>
      </c>
    </row>
    <row r="2182" spans="1:12" x14ac:dyDescent="0.2">
      <c r="A2182">
        <v>2181</v>
      </c>
      <c r="B2182">
        <v>12</v>
      </c>
      <c r="C2182">
        <v>92</v>
      </c>
      <c r="D2182">
        <v>62</v>
      </c>
      <c r="E2182">
        <v>7</v>
      </c>
      <c r="F2182">
        <v>258</v>
      </c>
      <c r="G2182">
        <v>27.6</v>
      </c>
      <c r="H2182">
        <v>0.92600000000000005</v>
      </c>
      <c r="I2182">
        <v>44</v>
      </c>
      <c r="J2182">
        <v>1</v>
      </c>
      <c r="K2182" t="str">
        <f t="shared" si="68"/>
        <v>Middle-Aged</v>
      </c>
      <c r="L2182" t="str">
        <f t="shared" si="69"/>
        <v>Overweight</v>
      </c>
    </row>
    <row r="2183" spans="1:12" x14ac:dyDescent="0.2">
      <c r="A2183">
        <v>2182</v>
      </c>
      <c r="B2183">
        <v>1</v>
      </c>
      <c r="C2183">
        <v>113</v>
      </c>
      <c r="D2183">
        <v>64</v>
      </c>
      <c r="E2183">
        <v>35</v>
      </c>
      <c r="F2183">
        <v>0</v>
      </c>
      <c r="G2183">
        <v>33.6</v>
      </c>
      <c r="H2183">
        <v>0.54300000000000004</v>
      </c>
      <c r="I2183">
        <v>21</v>
      </c>
      <c r="J2183">
        <v>1</v>
      </c>
      <c r="K2183" t="str">
        <f t="shared" si="68"/>
        <v>Young</v>
      </c>
      <c r="L2183" t="str">
        <f t="shared" si="69"/>
        <v>Obese</v>
      </c>
    </row>
    <row r="2184" spans="1:12" x14ac:dyDescent="0.2">
      <c r="A2184">
        <v>2183</v>
      </c>
      <c r="B2184">
        <v>3</v>
      </c>
      <c r="C2184">
        <v>111</v>
      </c>
      <c r="D2184">
        <v>56</v>
      </c>
      <c r="E2184">
        <v>39</v>
      </c>
      <c r="F2184">
        <v>0</v>
      </c>
      <c r="G2184">
        <v>30.1</v>
      </c>
      <c r="H2184">
        <v>0.55700000000000005</v>
      </c>
      <c r="I2184">
        <v>30</v>
      </c>
      <c r="J2184">
        <v>0</v>
      </c>
      <c r="K2184" t="str">
        <f t="shared" si="68"/>
        <v>Middle-Aged</v>
      </c>
      <c r="L2184" t="str">
        <f t="shared" si="69"/>
        <v>Obese</v>
      </c>
    </row>
    <row r="2185" spans="1:12" x14ac:dyDescent="0.2">
      <c r="A2185">
        <v>2184</v>
      </c>
      <c r="B2185">
        <v>2</v>
      </c>
      <c r="C2185">
        <v>114</v>
      </c>
      <c r="D2185">
        <v>68</v>
      </c>
      <c r="E2185">
        <v>22</v>
      </c>
      <c r="F2185">
        <v>0</v>
      </c>
      <c r="G2185">
        <v>28.7</v>
      </c>
      <c r="H2185">
        <v>9.1999999999999998E-2</v>
      </c>
      <c r="I2185">
        <v>25</v>
      </c>
      <c r="J2185">
        <v>0</v>
      </c>
      <c r="K2185" t="str">
        <f t="shared" si="68"/>
        <v>Young</v>
      </c>
      <c r="L2185" t="str">
        <f t="shared" si="69"/>
        <v>Overweight</v>
      </c>
    </row>
    <row r="2186" spans="1:12" x14ac:dyDescent="0.2">
      <c r="A2186">
        <v>2185</v>
      </c>
      <c r="B2186">
        <v>1</v>
      </c>
      <c r="C2186">
        <v>193</v>
      </c>
      <c r="D2186">
        <v>50</v>
      </c>
      <c r="E2186">
        <v>16</v>
      </c>
      <c r="F2186">
        <v>375</v>
      </c>
      <c r="G2186">
        <v>25.9</v>
      </c>
      <c r="H2186">
        <v>0.65500000000000003</v>
      </c>
      <c r="I2186">
        <v>24</v>
      </c>
      <c r="J2186">
        <v>0</v>
      </c>
      <c r="K2186" t="str">
        <f t="shared" si="68"/>
        <v>Young</v>
      </c>
      <c r="L2186" t="str">
        <f t="shared" si="69"/>
        <v>Overweight</v>
      </c>
    </row>
    <row r="2187" spans="1:12" x14ac:dyDescent="0.2">
      <c r="A2187">
        <v>2186</v>
      </c>
      <c r="B2187">
        <v>11</v>
      </c>
      <c r="C2187">
        <v>155</v>
      </c>
      <c r="D2187">
        <v>76</v>
      </c>
      <c r="E2187">
        <v>28</v>
      </c>
      <c r="F2187">
        <v>150</v>
      </c>
      <c r="G2187">
        <v>33.299999999999997</v>
      </c>
      <c r="H2187">
        <v>1.353</v>
      </c>
      <c r="I2187">
        <v>51</v>
      </c>
      <c r="J2187">
        <v>1</v>
      </c>
      <c r="K2187" t="str">
        <f t="shared" si="68"/>
        <v>Senior</v>
      </c>
      <c r="L2187" t="str">
        <f t="shared" si="69"/>
        <v>Obese</v>
      </c>
    </row>
    <row r="2188" spans="1:12" x14ac:dyDescent="0.2">
      <c r="A2188">
        <v>2187</v>
      </c>
      <c r="B2188">
        <v>3</v>
      </c>
      <c r="C2188">
        <v>191</v>
      </c>
      <c r="D2188">
        <v>68</v>
      </c>
      <c r="E2188">
        <v>15</v>
      </c>
      <c r="F2188">
        <v>130</v>
      </c>
      <c r="G2188">
        <v>30.9</v>
      </c>
      <c r="H2188">
        <v>0.29899999999999999</v>
      </c>
      <c r="I2188">
        <v>34</v>
      </c>
      <c r="J2188">
        <v>0</v>
      </c>
      <c r="K2188" t="str">
        <f t="shared" si="68"/>
        <v>Middle-Aged</v>
      </c>
      <c r="L2188" t="str">
        <f t="shared" si="69"/>
        <v>Obese</v>
      </c>
    </row>
    <row r="2189" spans="1:12" x14ac:dyDescent="0.2">
      <c r="A2189">
        <v>2188</v>
      </c>
      <c r="B2189">
        <v>3</v>
      </c>
      <c r="C2189">
        <v>141</v>
      </c>
      <c r="D2189">
        <v>121</v>
      </c>
      <c r="E2189">
        <v>0</v>
      </c>
      <c r="F2189">
        <v>0</v>
      </c>
      <c r="G2189">
        <v>30</v>
      </c>
      <c r="H2189">
        <v>0.76100000000000001</v>
      </c>
      <c r="I2189">
        <v>27</v>
      </c>
      <c r="J2189">
        <v>1</v>
      </c>
      <c r="K2189" t="str">
        <f t="shared" si="68"/>
        <v>Young</v>
      </c>
      <c r="L2189" t="str">
        <f t="shared" si="69"/>
        <v>Obese</v>
      </c>
    </row>
    <row r="2190" spans="1:12" x14ac:dyDescent="0.2">
      <c r="A2190">
        <v>2189</v>
      </c>
      <c r="B2190">
        <v>4</v>
      </c>
      <c r="C2190">
        <v>95</v>
      </c>
      <c r="D2190">
        <v>70</v>
      </c>
      <c r="E2190">
        <v>32</v>
      </c>
      <c r="F2190">
        <v>0</v>
      </c>
      <c r="G2190">
        <v>32.1</v>
      </c>
      <c r="H2190">
        <v>0.61199999999999999</v>
      </c>
      <c r="I2190">
        <v>24</v>
      </c>
      <c r="J2190">
        <v>0</v>
      </c>
      <c r="K2190" t="str">
        <f t="shared" si="68"/>
        <v>Young</v>
      </c>
      <c r="L2190" t="str">
        <f t="shared" si="69"/>
        <v>Obese</v>
      </c>
    </row>
    <row r="2191" spans="1:12" x14ac:dyDescent="0.2">
      <c r="A2191">
        <v>2190</v>
      </c>
      <c r="B2191">
        <v>3</v>
      </c>
      <c r="C2191">
        <v>142</v>
      </c>
      <c r="D2191">
        <v>80</v>
      </c>
      <c r="E2191">
        <v>15</v>
      </c>
      <c r="F2191">
        <v>0</v>
      </c>
      <c r="G2191">
        <v>32.4</v>
      </c>
      <c r="H2191">
        <v>0.2</v>
      </c>
      <c r="I2191">
        <v>63</v>
      </c>
      <c r="J2191">
        <v>0</v>
      </c>
      <c r="K2191" t="str">
        <f t="shared" si="68"/>
        <v>Senior</v>
      </c>
      <c r="L2191" t="str">
        <f t="shared" si="69"/>
        <v>Obese</v>
      </c>
    </row>
    <row r="2192" spans="1:12" x14ac:dyDescent="0.2">
      <c r="A2192">
        <v>2191</v>
      </c>
      <c r="B2192">
        <v>4</v>
      </c>
      <c r="C2192">
        <v>123</v>
      </c>
      <c r="D2192">
        <v>62</v>
      </c>
      <c r="E2192">
        <v>0</v>
      </c>
      <c r="F2192">
        <v>0</v>
      </c>
      <c r="G2192">
        <v>32</v>
      </c>
      <c r="H2192">
        <v>0.22600000000000001</v>
      </c>
      <c r="I2192">
        <v>35</v>
      </c>
      <c r="J2192">
        <v>1</v>
      </c>
      <c r="K2192" t="str">
        <f t="shared" si="68"/>
        <v>Middle-Aged</v>
      </c>
      <c r="L2192" t="str">
        <f t="shared" si="69"/>
        <v>Obese</v>
      </c>
    </row>
    <row r="2193" spans="1:12" x14ac:dyDescent="0.2">
      <c r="A2193">
        <v>2192</v>
      </c>
      <c r="B2193">
        <v>5</v>
      </c>
      <c r="C2193">
        <v>96</v>
      </c>
      <c r="D2193">
        <v>74</v>
      </c>
      <c r="E2193">
        <v>18</v>
      </c>
      <c r="F2193">
        <v>67</v>
      </c>
      <c r="G2193">
        <v>33.6</v>
      </c>
      <c r="H2193">
        <v>0.997</v>
      </c>
      <c r="I2193">
        <v>43</v>
      </c>
      <c r="J2193">
        <v>0</v>
      </c>
      <c r="K2193" t="str">
        <f t="shared" si="68"/>
        <v>Middle-Aged</v>
      </c>
      <c r="L2193" t="str">
        <f t="shared" si="69"/>
        <v>Obese</v>
      </c>
    </row>
    <row r="2194" spans="1:12" x14ac:dyDescent="0.2">
      <c r="A2194">
        <v>2193</v>
      </c>
      <c r="B2194">
        <v>0</v>
      </c>
      <c r="C2194">
        <v>138</v>
      </c>
      <c r="D2194">
        <v>121</v>
      </c>
      <c r="E2194">
        <v>0</v>
      </c>
      <c r="F2194">
        <v>0</v>
      </c>
      <c r="G2194">
        <v>36.299999999999997</v>
      </c>
      <c r="H2194">
        <v>0.93300000000000005</v>
      </c>
      <c r="I2194">
        <v>25</v>
      </c>
      <c r="J2194">
        <v>1</v>
      </c>
      <c r="K2194" t="str">
        <f t="shared" si="68"/>
        <v>Young</v>
      </c>
      <c r="L2194" t="str">
        <f t="shared" si="69"/>
        <v>Obese</v>
      </c>
    </row>
    <row r="2195" spans="1:12" x14ac:dyDescent="0.2">
      <c r="A2195">
        <v>2194</v>
      </c>
      <c r="B2195">
        <v>2</v>
      </c>
      <c r="C2195">
        <v>128</v>
      </c>
      <c r="D2195">
        <v>64</v>
      </c>
      <c r="E2195">
        <v>42</v>
      </c>
      <c r="F2195">
        <v>0</v>
      </c>
      <c r="G2195">
        <v>40</v>
      </c>
      <c r="H2195">
        <v>1.101</v>
      </c>
      <c r="I2195">
        <v>24</v>
      </c>
      <c r="J2195">
        <v>0</v>
      </c>
      <c r="K2195" t="str">
        <f t="shared" si="68"/>
        <v>Young</v>
      </c>
      <c r="L2195" t="str">
        <f t="shared" si="69"/>
        <v>Obese</v>
      </c>
    </row>
    <row r="2196" spans="1:12" x14ac:dyDescent="0.2">
      <c r="A2196">
        <v>2195</v>
      </c>
      <c r="B2196">
        <v>0</v>
      </c>
      <c r="C2196">
        <v>102</v>
      </c>
      <c r="D2196">
        <v>52</v>
      </c>
      <c r="E2196">
        <v>0</v>
      </c>
      <c r="F2196">
        <v>0</v>
      </c>
      <c r="G2196">
        <v>25.1</v>
      </c>
      <c r="H2196">
        <v>7.8E-2</v>
      </c>
      <c r="I2196">
        <v>21</v>
      </c>
      <c r="J2196">
        <v>0</v>
      </c>
      <c r="K2196" t="str">
        <f t="shared" si="68"/>
        <v>Young</v>
      </c>
      <c r="L2196" t="str">
        <f t="shared" si="69"/>
        <v>Overweight</v>
      </c>
    </row>
    <row r="2197" spans="1:12" x14ac:dyDescent="0.2">
      <c r="A2197">
        <v>2196</v>
      </c>
      <c r="B2197">
        <v>2</v>
      </c>
      <c r="C2197">
        <v>146</v>
      </c>
      <c r="D2197">
        <v>121</v>
      </c>
      <c r="E2197">
        <v>0</v>
      </c>
      <c r="F2197">
        <v>0</v>
      </c>
      <c r="G2197">
        <v>27.5</v>
      </c>
      <c r="H2197">
        <v>0.24</v>
      </c>
      <c r="I2197">
        <v>28</v>
      </c>
      <c r="J2197">
        <v>1</v>
      </c>
      <c r="K2197" t="str">
        <f t="shared" si="68"/>
        <v>Young</v>
      </c>
      <c r="L2197" t="str">
        <f t="shared" si="69"/>
        <v>Overweight</v>
      </c>
    </row>
    <row r="2198" spans="1:12" x14ac:dyDescent="0.2">
      <c r="A2198">
        <v>2197</v>
      </c>
      <c r="B2198">
        <v>10</v>
      </c>
      <c r="C2198">
        <v>101</v>
      </c>
      <c r="D2198">
        <v>86</v>
      </c>
      <c r="E2198">
        <v>37</v>
      </c>
      <c r="F2198">
        <v>0</v>
      </c>
      <c r="G2198">
        <v>45.6</v>
      </c>
      <c r="H2198">
        <v>1.1359999999999999</v>
      </c>
      <c r="I2198">
        <v>38</v>
      </c>
      <c r="J2198">
        <v>1</v>
      </c>
      <c r="K2198" t="str">
        <f t="shared" si="68"/>
        <v>Middle-Aged</v>
      </c>
      <c r="L2198" t="str">
        <f t="shared" si="69"/>
        <v>Obese</v>
      </c>
    </row>
    <row r="2199" spans="1:12" x14ac:dyDescent="0.2">
      <c r="A2199">
        <v>2198</v>
      </c>
      <c r="B2199">
        <v>2</v>
      </c>
      <c r="C2199">
        <v>108</v>
      </c>
      <c r="D2199">
        <v>62</v>
      </c>
      <c r="E2199">
        <v>32</v>
      </c>
      <c r="F2199">
        <v>56</v>
      </c>
      <c r="G2199">
        <v>25.2</v>
      </c>
      <c r="H2199">
        <v>0.128</v>
      </c>
      <c r="I2199">
        <v>21</v>
      </c>
      <c r="J2199">
        <v>0</v>
      </c>
      <c r="K2199" t="str">
        <f t="shared" si="68"/>
        <v>Young</v>
      </c>
      <c r="L2199" t="str">
        <f t="shared" si="69"/>
        <v>Overweight</v>
      </c>
    </row>
    <row r="2200" spans="1:12" x14ac:dyDescent="0.2">
      <c r="A2200">
        <v>2199</v>
      </c>
      <c r="B2200">
        <v>3</v>
      </c>
      <c r="C2200">
        <v>122</v>
      </c>
      <c r="D2200">
        <v>78</v>
      </c>
      <c r="E2200">
        <v>0</v>
      </c>
      <c r="F2200">
        <v>0</v>
      </c>
      <c r="G2200">
        <v>23</v>
      </c>
      <c r="H2200">
        <v>0.254</v>
      </c>
      <c r="I2200">
        <v>40</v>
      </c>
      <c r="J2200">
        <v>0</v>
      </c>
      <c r="K2200" t="str">
        <f t="shared" si="68"/>
        <v>Middle-Aged</v>
      </c>
      <c r="L2200" t="str">
        <f t="shared" si="69"/>
        <v>Normal</v>
      </c>
    </row>
    <row r="2201" spans="1:12" x14ac:dyDescent="0.2">
      <c r="A2201">
        <v>2200</v>
      </c>
      <c r="B2201">
        <v>1</v>
      </c>
      <c r="C2201">
        <v>71</v>
      </c>
      <c r="D2201">
        <v>78</v>
      </c>
      <c r="E2201">
        <v>50</v>
      </c>
      <c r="F2201">
        <v>45</v>
      </c>
      <c r="G2201">
        <v>33.200000000000003</v>
      </c>
      <c r="H2201">
        <v>0.42199999999999999</v>
      </c>
      <c r="I2201">
        <v>21</v>
      </c>
      <c r="J2201">
        <v>0</v>
      </c>
      <c r="K2201" t="str">
        <f t="shared" si="68"/>
        <v>Young</v>
      </c>
      <c r="L2201" t="str">
        <f t="shared" si="69"/>
        <v>Obese</v>
      </c>
    </row>
    <row r="2202" spans="1:12" x14ac:dyDescent="0.2">
      <c r="A2202">
        <v>2201</v>
      </c>
      <c r="B2202">
        <v>13</v>
      </c>
      <c r="C2202">
        <v>106</v>
      </c>
      <c r="D2202">
        <v>70</v>
      </c>
      <c r="E2202">
        <v>0</v>
      </c>
      <c r="F2202">
        <v>0</v>
      </c>
      <c r="G2202">
        <v>34.200000000000003</v>
      </c>
      <c r="H2202">
        <v>0.251</v>
      </c>
      <c r="I2202">
        <v>52</v>
      </c>
      <c r="J2202">
        <v>0</v>
      </c>
      <c r="K2202" t="str">
        <f t="shared" si="68"/>
        <v>Senior</v>
      </c>
      <c r="L2202" t="str">
        <f t="shared" si="69"/>
        <v>Obese</v>
      </c>
    </row>
    <row r="2203" spans="1:12" x14ac:dyDescent="0.2">
      <c r="A2203">
        <v>2202</v>
      </c>
      <c r="B2203">
        <v>2</v>
      </c>
      <c r="C2203">
        <v>100</v>
      </c>
      <c r="D2203">
        <v>70</v>
      </c>
      <c r="E2203">
        <v>52</v>
      </c>
      <c r="F2203">
        <v>57</v>
      </c>
      <c r="G2203">
        <v>40.5</v>
      </c>
      <c r="H2203">
        <v>0.67700000000000005</v>
      </c>
      <c r="I2203">
        <v>25</v>
      </c>
      <c r="J2203">
        <v>0</v>
      </c>
      <c r="K2203" t="str">
        <f t="shared" si="68"/>
        <v>Young</v>
      </c>
      <c r="L2203" t="str">
        <f t="shared" si="69"/>
        <v>Obese</v>
      </c>
    </row>
    <row r="2204" spans="1:12" x14ac:dyDescent="0.2">
      <c r="A2204">
        <v>2203</v>
      </c>
      <c r="B2204">
        <v>7</v>
      </c>
      <c r="C2204">
        <v>106</v>
      </c>
      <c r="D2204">
        <v>60</v>
      </c>
      <c r="E2204">
        <v>24</v>
      </c>
      <c r="F2204">
        <v>0</v>
      </c>
      <c r="G2204">
        <v>26.5</v>
      </c>
      <c r="H2204">
        <v>0.29599999999999999</v>
      </c>
      <c r="I2204">
        <v>29</v>
      </c>
      <c r="J2204">
        <v>1</v>
      </c>
      <c r="K2204" t="str">
        <f t="shared" si="68"/>
        <v>Young</v>
      </c>
      <c r="L2204" t="str">
        <f t="shared" si="69"/>
        <v>Overweight</v>
      </c>
    </row>
    <row r="2205" spans="1:12" x14ac:dyDescent="0.2">
      <c r="A2205">
        <v>2204</v>
      </c>
      <c r="B2205">
        <v>0</v>
      </c>
      <c r="C2205">
        <v>104</v>
      </c>
      <c r="D2205">
        <v>64</v>
      </c>
      <c r="E2205">
        <v>23</v>
      </c>
      <c r="F2205">
        <v>116</v>
      </c>
      <c r="G2205">
        <v>27.8</v>
      </c>
      <c r="H2205">
        <v>0.45400000000000001</v>
      </c>
      <c r="I2205">
        <v>23</v>
      </c>
      <c r="J2205">
        <v>0</v>
      </c>
      <c r="K2205" t="str">
        <f t="shared" si="68"/>
        <v>Young</v>
      </c>
      <c r="L2205" t="str">
        <f t="shared" si="69"/>
        <v>Overweight</v>
      </c>
    </row>
    <row r="2206" spans="1:12" x14ac:dyDescent="0.2">
      <c r="A2206">
        <v>2205</v>
      </c>
      <c r="B2206">
        <v>5</v>
      </c>
      <c r="C2206">
        <v>114</v>
      </c>
      <c r="D2206">
        <v>74</v>
      </c>
      <c r="E2206">
        <v>0</v>
      </c>
      <c r="F2206">
        <v>0</v>
      </c>
      <c r="G2206">
        <v>24.9</v>
      </c>
      <c r="H2206">
        <v>0.74399999999999999</v>
      </c>
      <c r="I2206">
        <v>57</v>
      </c>
      <c r="J2206">
        <v>0</v>
      </c>
      <c r="K2206" t="str">
        <f t="shared" si="68"/>
        <v>Senior</v>
      </c>
      <c r="L2206" t="str">
        <f t="shared" si="69"/>
        <v>Normal</v>
      </c>
    </row>
    <row r="2207" spans="1:12" x14ac:dyDescent="0.2">
      <c r="A2207">
        <v>2206</v>
      </c>
      <c r="B2207">
        <v>2</v>
      </c>
      <c r="C2207">
        <v>108</v>
      </c>
      <c r="D2207">
        <v>62</v>
      </c>
      <c r="E2207">
        <v>10</v>
      </c>
      <c r="F2207">
        <v>278</v>
      </c>
      <c r="G2207">
        <v>25.3</v>
      </c>
      <c r="H2207">
        <v>0.88100000000000001</v>
      </c>
      <c r="I2207">
        <v>22</v>
      </c>
      <c r="J2207">
        <v>0</v>
      </c>
      <c r="K2207" t="str">
        <f t="shared" si="68"/>
        <v>Young</v>
      </c>
      <c r="L2207" t="str">
        <f t="shared" si="69"/>
        <v>Overweight</v>
      </c>
    </row>
    <row r="2208" spans="1:12" x14ac:dyDescent="0.2">
      <c r="A2208">
        <v>2207</v>
      </c>
      <c r="B2208">
        <v>0</v>
      </c>
      <c r="C2208">
        <v>146</v>
      </c>
      <c r="D2208">
        <v>70</v>
      </c>
      <c r="E2208">
        <v>0</v>
      </c>
      <c r="F2208">
        <v>0</v>
      </c>
      <c r="G2208">
        <v>37.9</v>
      </c>
      <c r="H2208">
        <v>0.33400000000000002</v>
      </c>
      <c r="I2208">
        <v>28</v>
      </c>
      <c r="J2208">
        <v>1</v>
      </c>
      <c r="K2208" t="str">
        <f t="shared" si="68"/>
        <v>Young</v>
      </c>
      <c r="L2208" t="str">
        <f t="shared" si="69"/>
        <v>Obese</v>
      </c>
    </row>
    <row r="2209" spans="1:12" x14ac:dyDescent="0.2">
      <c r="A2209">
        <v>2208</v>
      </c>
      <c r="B2209">
        <v>10</v>
      </c>
      <c r="C2209">
        <v>129</v>
      </c>
      <c r="D2209">
        <v>76</v>
      </c>
      <c r="E2209">
        <v>28</v>
      </c>
      <c r="F2209">
        <v>122</v>
      </c>
      <c r="G2209">
        <v>35.9</v>
      </c>
      <c r="H2209">
        <v>0.28000000000000003</v>
      </c>
      <c r="I2209">
        <v>39</v>
      </c>
      <c r="J2209">
        <v>0</v>
      </c>
      <c r="K2209" t="str">
        <f t="shared" si="68"/>
        <v>Middle-Aged</v>
      </c>
      <c r="L2209" t="str">
        <f t="shared" si="69"/>
        <v>Obese</v>
      </c>
    </row>
    <row r="2210" spans="1:12" x14ac:dyDescent="0.2">
      <c r="A2210">
        <v>2209</v>
      </c>
      <c r="B2210">
        <v>7</v>
      </c>
      <c r="C2210">
        <v>133</v>
      </c>
      <c r="D2210">
        <v>88</v>
      </c>
      <c r="E2210">
        <v>15</v>
      </c>
      <c r="F2210">
        <v>155</v>
      </c>
      <c r="G2210">
        <v>32.4</v>
      </c>
      <c r="H2210">
        <v>0.26200000000000001</v>
      </c>
      <c r="I2210">
        <v>37</v>
      </c>
      <c r="J2210">
        <v>0</v>
      </c>
      <c r="K2210" t="str">
        <f t="shared" si="68"/>
        <v>Middle-Aged</v>
      </c>
      <c r="L2210" t="str">
        <f t="shared" si="69"/>
        <v>Obese</v>
      </c>
    </row>
    <row r="2211" spans="1:12" x14ac:dyDescent="0.2">
      <c r="A2211">
        <v>2210</v>
      </c>
      <c r="B2211">
        <v>7</v>
      </c>
      <c r="C2211">
        <v>161</v>
      </c>
      <c r="D2211">
        <v>86</v>
      </c>
      <c r="E2211">
        <v>0</v>
      </c>
      <c r="F2211">
        <v>0</v>
      </c>
      <c r="G2211">
        <v>30.4</v>
      </c>
      <c r="H2211">
        <v>0.16500000000000001</v>
      </c>
      <c r="I2211">
        <v>47</v>
      </c>
      <c r="J2211">
        <v>1</v>
      </c>
      <c r="K2211" t="str">
        <f t="shared" si="68"/>
        <v>Senior</v>
      </c>
      <c r="L2211" t="str">
        <f t="shared" si="69"/>
        <v>Obese</v>
      </c>
    </row>
    <row r="2212" spans="1:12" x14ac:dyDescent="0.2">
      <c r="A2212">
        <v>2211</v>
      </c>
      <c r="B2212">
        <v>2</v>
      </c>
      <c r="C2212">
        <v>108</v>
      </c>
      <c r="D2212">
        <v>80</v>
      </c>
      <c r="E2212">
        <v>0</v>
      </c>
      <c r="F2212">
        <v>0</v>
      </c>
      <c r="G2212">
        <v>27</v>
      </c>
      <c r="H2212">
        <v>0.25900000000000001</v>
      </c>
      <c r="I2212">
        <v>52</v>
      </c>
      <c r="J2212">
        <v>1</v>
      </c>
      <c r="K2212" t="str">
        <f t="shared" si="68"/>
        <v>Senior</v>
      </c>
      <c r="L2212" t="str">
        <f t="shared" si="69"/>
        <v>Overweight</v>
      </c>
    </row>
    <row r="2213" spans="1:12" x14ac:dyDescent="0.2">
      <c r="A2213">
        <v>2212</v>
      </c>
      <c r="B2213">
        <v>7</v>
      </c>
      <c r="C2213">
        <v>136</v>
      </c>
      <c r="D2213">
        <v>74</v>
      </c>
      <c r="E2213">
        <v>26</v>
      </c>
      <c r="F2213">
        <v>135</v>
      </c>
      <c r="G2213">
        <v>26</v>
      </c>
      <c r="H2213">
        <v>0.64700000000000002</v>
      </c>
      <c r="I2213">
        <v>51</v>
      </c>
      <c r="J2213">
        <v>0</v>
      </c>
      <c r="K2213" t="str">
        <f t="shared" si="68"/>
        <v>Senior</v>
      </c>
      <c r="L2213" t="str">
        <f t="shared" si="69"/>
        <v>Overweight</v>
      </c>
    </row>
    <row r="2214" spans="1:12" x14ac:dyDescent="0.2">
      <c r="A2214">
        <v>2213</v>
      </c>
      <c r="B2214">
        <v>5</v>
      </c>
      <c r="C2214">
        <v>155</v>
      </c>
      <c r="D2214">
        <v>84</v>
      </c>
      <c r="E2214">
        <v>44</v>
      </c>
      <c r="F2214">
        <v>545</v>
      </c>
      <c r="G2214">
        <v>38.700000000000003</v>
      </c>
      <c r="H2214">
        <v>0.61899999999999999</v>
      </c>
      <c r="I2214">
        <v>34</v>
      </c>
      <c r="J2214">
        <v>0</v>
      </c>
      <c r="K2214" t="str">
        <f t="shared" si="68"/>
        <v>Middle-Aged</v>
      </c>
      <c r="L2214" t="str">
        <f t="shared" si="69"/>
        <v>Obese</v>
      </c>
    </row>
    <row r="2215" spans="1:12" x14ac:dyDescent="0.2">
      <c r="A2215">
        <v>2214</v>
      </c>
      <c r="B2215">
        <v>1</v>
      </c>
      <c r="C2215">
        <v>119</v>
      </c>
      <c r="D2215">
        <v>86</v>
      </c>
      <c r="E2215">
        <v>39</v>
      </c>
      <c r="F2215">
        <v>220</v>
      </c>
      <c r="G2215">
        <v>45.6</v>
      </c>
      <c r="H2215">
        <v>0.80800000000000005</v>
      </c>
      <c r="I2215">
        <v>29</v>
      </c>
      <c r="J2215">
        <v>1</v>
      </c>
      <c r="K2215" t="str">
        <f t="shared" si="68"/>
        <v>Young</v>
      </c>
      <c r="L2215" t="str">
        <f t="shared" si="69"/>
        <v>Obese</v>
      </c>
    </row>
    <row r="2216" spans="1:12" x14ac:dyDescent="0.2">
      <c r="A2216">
        <v>2215</v>
      </c>
      <c r="B2216">
        <v>4</v>
      </c>
      <c r="C2216">
        <v>96</v>
      </c>
      <c r="D2216">
        <v>56</v>
      </c>
      <c r="E2216">
        <v>17</v>
      </c>
      <c r="F2216">
        <v>49</v>
      </c>
      <c r="G2216">
        <v>20.8</v>
      </c>
      <c r="H2216">
        <v>0.34</v>
      </c>
      <c r="I2216">
        <v>26</v>
      </c>
      <c r="J2216">
        <v>0</v>
      </c>
      <c r="K2216" t="str">
        <f t="shared" si="68"/>
        <v>Young</v>
      </c>
      <c r="L2216" t="str">
        <f t="shared" si="69"/>
        <v>Normal</v>
      </c>
    </row>
    <row r="2217" spans="1:12" x14ac:dyDescent="0.2">
      <c r="A2217">
        <v>2216</v>
      </c>
      <c r="B2217">
        <v>5</v>
      </c>
      <c r="C2217">
        <v>108</v>
      </c>
      <c r="D2217">
        <v>72</v>
      </c>
      <c r="E2217">
        <v>43</v>
      </c>
      <c r="F2217">
        <v>75</v>
      </c>
      <c r="G2217">
        <v>36.1</v>
      </c>
      <c r="H2217">
        <v>0.26300000000000001</v>
      </c>
      <c r="I2217">
        <v>33</v>
      </c>
      <c r="J2217">
        <v>0</v>
      </c>
      <c r="K2217" t="str">
        <f t="shared" si="68"/>
        <v>Middle-Aged</v>
      </c>
      <c r="L2217" t="str">
        <f t="shared" si="69"/>
        <v>Obese</v>
      </c>
    </row>
    <row r="2218" spans="1:12" x14ac:dyDescent="0.2">
      <c r="A2218">
        <v>2217</v>
      </c>
      <c r="B2218">
        <v>0</v>
      </c>
      <c r="C2218">
        <v>78</v>
      </c>
      <c r="D2218">
        <v>88</v>
      </c>
      <c r="E2218">
        <v>29</v>
      </c>
      <c r="F2218">
        <v>40</v>
      </c>
      <c r="G2218">
        <v>36.9</v>
      </c>
      <c r="H2218">
        <v>0.434</v>
      </c>
      <c r="I2218">
        <v>21</v>
      </c>
      <c r="J2218">
        <v>0</v>
      </c>
      <c r="K2218" t="str">
        <f t="shared" si="68"/>
        <v>Young</v>
      </c>
      <c r="L2218" t="str">
        <f t="shared" si="69"/>
        <v>Obese</v>
      </c>
    </row>
    <row r="2219" spans="1:12" x14ac:dyDescent="0.2">
      <c r="A2219">
        <v>2218</v>
      </c>
      <c r="B2219">
        <v>0</v>
      </c>
      <c r="C2219">
        <v>107</v>
      </c>
      <c r="D2219">
        <v>62</v>
      </c>
      <c r="E2219">
        <v>30</v>
      </c>
      <c r="F2219">
        <v>74</v>
      </c>
      <c r="G2219">
        <v>36.6</v>
      </c>
      <c r="H2219">
        <v>0.75700000000000001</v>
      </c>
      <c r="I2219">
        <v>25</v>
      </c>
      <c r="J2219">
        <v>1</v>
      </c>
      <c r="K2219" t="str">
        <f t="shared" si="68"/>
        <v>Young</v>
      </c>
      <c r="L2219" t="str">
        <f t="shared" si="69"/>
        <v>Obese</v>
      </c>
    </row>
    <row r="2220" spans="1:12" x14ac:dyDescent="0.2">
      <c r="A2220">
        <v>2219</v>
      </c>
      <c r="B2220">
        <v>2</v>
      </c>
      <c r="C2220">
        <v>128</v>
      </c>
      <c r="D2220">
        <v>78</v>
      </c>
      <c r="E2220">
        <v>37</v>
      </c>
      <c r="F2220">
        <v>182</v>
      </c>
      <c r="G2220">
        <v>43.3</v>
      </c>
      <c r="H2220">
        <v>1.224</v>
      </c>
      <c r="I2220">
        <v>31</v>
      </c>
      <c r="J2220">
        <v>1</v>
      </c>
      <c r="K2220" t="str">
        <f t="shared" si="68"/>
        <v>Middle-Aged</v>
      </c>
      <c r="L2220" t="str">
        <f t="shared" si="69"/>
        <v>Obese</v>
      </c>
    </row>
    <row r="2221" spans="1:12" x14ac:dyDescent="0.2">
      <c r="A2221">
        <v>2220</v>
      </c>
      <c r="B2221">
        <v>1</v>
      </c>
      <c r="C2221">
        <v>128</v>
      </c>
      <c r="D2221">
        <v>48</v>
      </c>
      <c r="E2221">
        <v>45</v>
      </c>
      <c r="F2221">
        <v>194</v>
      </c>
      <c r="G2221">
        <v>40.5</v>
      </c>
      <c r="H2221">
        <v>0.61299999999999999</v>
      </c>
      <c r="I2221">
        <v>24</v>
      </c>
      <c r="J2221">
        <v>1</v>
      </c>
      <c r="K2221" t="str">
        <f t="shared" si="68"/>
        <v>Young</v>
      </c>
      <c r="L2221" t="str">
        <f t="shared" si="69"/>
        <v>Obese</v>
      </c>
    </row>
    <row r="2222" spans="1:12" x14ac:dyDescent="0.2">
      <c r="A2222">
        <v>2221</v>
      </c>
      <c r="B2222">
        <v>0</v>
      </c>
      <c r="C2222">
        <v>161</v>
      </c>
      <c r="D2222">
        <v>50</v>
      </c>
      <c r="E2222">
        <v>0</v>
      </c>
      <c r="F2222">
        <v>0</v>
      </c>
      <c r="G2222">
        <v>21.9</v>
      </c>
      <c r="H2222">
        <v>0.254</v>
      </c>
      <c r="I2222">
        <v>65</v>
      </c>
      <c r="J2222">
        <v>0</v>
      </c>
      <c r="K2222" t="str">
        <f t="shared" si="68"/>
        <v>Senior</v>
      </c>
      <c r="L2222" t="str">
        <f t="shared" si="69"/>
        <v>Normal</v>
      </c>
    </row>
    <row r="2223" spans="1:12" x14ac:dyDescent="0.2">
      <c r="A2223">
        <v>2222</v>
      </c>
      <c r="B2223">
        <v>6</v>
      </c>
      <c r="C2223">
        <v>151</v>
      </c>
      <c r="D2223">
        <v>62</v>
      </c>
      <c r="E2223">
        <v>31</v>
      </c>
      <c r="F2223">
        <v>120</v>
      </c>
      <c r="G2223">
        <v>35.5</v>
      </c>
      <c r="H2223">
        <v>0.69199999999999995</v>
      </c>
      <c r="I2223">
        <v>28</v>
      </c>
      <c r="J2223">
        <v>0</v>
      </c>
      <c r="K2223" t="str">
        <f t="shared" si="68"/>
        <v>Young</v>
      </c>
      <c r="L2223" t="str">
        <f t="shared" si="69"/>
        <v>Obese</v>
      </c>
    </row>
    <row r="2224" spans="1:12" x14ac:dyDescent="0.2">
      <c r="A2224">
        <v>2223</v>
      </c>
      <c r="B2224">
        <v>2</v>
      </c>
      <c r="C2224">
        <v>146</v>
      </c>
      <c r="D2224">
        <v>70</v>
      </c>
      <c r="E2224">
        <v>38</v>
      </c>
      <c r="F2224">
        <v>360</v>
      </c>
      <c r="G2224">
        <v>28</v>
      </c>
      <c r="H2224">
        <v>0.33700000000000002</v>
      </c>
      <c r="I2224">
        <v>29</v>
      </c>
      <c r="J2224">
        <v>1</v>
      </c>
      <c r="K2224" t="str">
        <f t="shared" si="68"/>
        <v>Young</v>
      </c>
      <c r="L2224" t="str">
        <f t="shared" si="69"/>
        <v>Overweight</v>
      </c>
    </row>
    <row r="2225" spans="1:12" x14ac:dyDescent="0.2">
      <c r="A2225">
        <v>2224</v>
      </c>
      <c r="B2225">
        <v>0</v>
      </c>
      <c r="C2225">
        <v>126</v>
      </c>
      <c r="D2225">
        <v>84</v>
      </c>
      <c r="E2225">
        <v>29</v>
      </c>
      <c r="F2225">
        <v>215</v>
      </c>
      <c r="G2225">
        <v>30.7</v>
      </c>
      <c r="H2225">
        <v>0.52</v>
      </c>
      <c r="I2225">
        <v>24</v>
      </c>
      <c r="J2225">
        <v>0</v>
      </c>
      <c r="K2225" t="str">
        <f t="shared" si="68"/>
        <v>Young</v>
      </c>
      <c r="L2225" t="str">
        <f t="shared" si="69"/>
        <v>Obese</v>
      </c>
    </row>
    <row r="2226" spans="1:12" x14ac:dyDescent="0.2">
      <c r="A2226">
        <v>2225</v>
      </c>
      <c r="B2226">
        <v>14</v>
      </c>
      <c r="C2226">
        <v>100</v>
      </c>
      <c r="D2226">
        <v>78</v>
      </c>
      <c r="E2226">
        <v>25</v>
      </c>
      <c r="F2226">
        <v>184</v>
      </c>
      <c r="G2226">
        <v>36.6</v>
      </c>
      <c r="H2226">
        <v>0.41199999999999998</v>
      </c>
      <c r="I2226">
        <v>46</v>
      </c>
      <c r="J2226">
        <v>1</v>
      </c>
      <c r="K2226" t="str">
        <f t="shared" si="68"/>
        <v>Senior</v>
      </c>
      <c r="L2226" t="str">
        <f t="shared" si="69"/>
        <v>Obese</v>
      </c>
    </row>
    <row r="2227" spans="1:12" x14ac:dyDescent="0.2">
      <c r="A2227">
        <v>2226</v>
      </c>
      <c r="B2227">
        <v>3</v>
      </c>
      <c r="C2227">
        <v>82</v>
      </c>
      <c r="D2227">
        <v>70</v>
      </c>
      <c r="E2227">
        <v>0</v>
      </c>
      <c r="F2227">
        <v>0</v>
      </c>
      <c r="G2227">
        <v>21.1</v>
      </c>
      <c r="H2227">
        <v>0.38900000000000001</v>
      </c>
      <c r="I2227">
        <v>25</v>
      </c>
      <c r="J2227">
        <v>0</v>
      </c>
      <c r="K2227" t="str">
        <f t="shared" si="68"/>
        <v>Young</v>
      </c>
      <c r="L2227" t="str">
        <f t="shared" si="69"/>
        <v>Normal</v>
      </c>
    </row>
    <row r="2228" spans="1:12" x14ac:dyDescent="0.2">
      <c r="A2228">
        <v>2227</v>
      </c>
      <c r="B2228">
        <v>3</v>
      </c>
      <c r="C2228">
        <v>193</v>
      </c>
      <c r="D2228">
        <v>70</v>
      </c>
      <c r="E2228">
        <v>31</v>
      </c>
      <c r="F2228">
        <v>0</v>
      </c>
      <c r="G2228">
        <v>34.9</v>
      </c>
      <c r="H2228">
        <v>0.24099999999999999</v>
      </c>
      <c r="I2228">
        <v>25</v>
      </c>
      <c r="J2228">
        <v>1</v>
      </c>
      <c r="K2228" t="str">
        <f t="shared" si="68"/>
        <v>Young</v>
      </c>
      <c r="L2228" t="str">
        <f t="shared" si="69"/>
        <v>Obese</v>
      </c>
    </row>
    <row r="2229" spans="1:12" x14ac:dyDescent="0.2">
      <c r="A2229">
        <v>2228</v>
      </c>
      <c r="B2229">
        <v>4</v>
      </c>
      <c r="C2229">
        <v>95</v>
      </c>
      <c r="D2229">
        <v>64</v>
      </c>
      <c r="E2229">
        <v>0</v>
      </c>
      <c r="F2229">
        <v>0</v>
      </c>
      <c r="G2229">
        <v>32</v>
      </c>
      <c r="H2229">
        <v>0.161</v>
      </c>
      <c r="I2229">
        <v>31</v>
      </c>
      <c r="J2229">
        <v>1</v>
      </c>
      <c r="K2229" t="str">
        <f t="shared" si="68"/>
        <v>Middle-Aged</v>
      </c>
      <c r="L2229" t="str">
        <f t="shared" si="69"/>
        <v>Obese</v>
      </c>
    </row>
    <row r="2230" spans="1:12" x14ac:dyDescent="0.2">
      <c r="A2230">
        <v>2229</v>
      </c>
      <c r="B2230">
        <v>6</v>
      </c>
      <c r="C2230">
        <v>137</v>
      </c>
      <c r="D2230">
        <v>61</v>
      </c>
      <c r="E2230">
        <v>0</v>
      </c>
      <c r="F2230">
        <v>0</v>
      </c>
      <c r="G2230">
        <v>24.2</v>
      </c>
      <c r="H2230">
        <v>0.151</v>
      </c>
      <c r="I2230">
        <v>55</v>
      </c>
      <c r="J2230">
        <v>0</v>
      </c>
      <c r="K2230" t="str">
        <f t="shared" si="68"/>
        <v>Senior</v>
      </c>
      <c r="L2230" t="str">
        <f t="shared" si="69"/>
        <v>Normal</v>
      </c>
    </row>
    <row r="2231" spans="1:12" x14ac:dyDescent="0.2">
      <c r="A2231">
        <v>2230</v>
      </c>
      <c r="B2231">
        <v>5</v>
      </c>
      <c r="C2231">
        <v>136</v>
      </c>
      <c r="D2231">
        <v>84</v>
      </c>
      <c r="E2231">
        <v>41</v>
      </c>
      <c r="F2231">
        <v>88</v>
      </c>
      <c r="G2231">
        <v>35</v>
      </c>
      <c r="H2231">
        <v>0.28599999999999998</v>
      </c>
      <c r="I2231">
        <v>35</v>
      </c>
      <c r="J2231">
        <v>1</v>
      </c>
      <c r="K2231" t="str">
        <f t="shared" si="68"/>
        <v>Middle-Aged</v>
      </c>
      <c r="L2231" t="str">
        <f t="shared" si="69"/>
        <v>Obese</v>
      </c>
    </row>
    <row r="2232" spans="1:12" x14ac:dyDescent="0.2">
      <c r="A2232">
        <v>2231</v>
      </c>
      <c r="B2232">
        <v>9</v>
      </c>
      <c r="C2232">
        <v>72</v>
      </c>
      <c r="D2232">
        <v>78</v>
      </c>
      <c r="E2232">
        <v>25</v>
      </c>
      <c r="F2232">
        <v>0</v>
      </c>
      <c r="G2232">
        <v>31.6</v>
      </c>
      <c r="H2232">
        <v>0.28000000000000003</v>
      </c>
      <c r="I2232">
        <v>38</v>
      </c>
      <c r="J2232">
        <v>0</v>
      </c>
      <c r="K2232" t="str">
        <f t="shared" si="68"/>
        <v>Middle-Aged</v>
      </c>
      <c r="L2232" t="str">
        <f t="shared" si="69"/>
        <v>Obese</v>
      </c>
    </row>
    <row r="2233" spans="1:12" x14ac:dyDescent="0.2">
      <c r="A2233">
        <v>2232</v>
      </c>
      <c r="B2233">
        <v>5</v>
      </c>
      <c r="C2233">
        <v>168</v>
      </c>
      <c r="D2233">
        <v>64</v>
      </c>
      <c r="E2233">
        <v>0</v>
      </c>
      <c r="F2233">
        <v>0</v>
      </c>
      <c r="G2233">
        <v>32.9</v>
      </c>
      <c r="H2233">
        <v>0.13500000000000001</v>
      </c>
      <c r="I2233">
        <v>41</v>
      </c>
      <c r="J2233">
        <v>1</v>
      </c>
      <c r="K2233" t="str">
        <f t="shared" si="68"/>
        <v>Middle-Aged</v>
      </c>
      <c r="L2233" t="str">
        <f t="shared" si="69"/>
        <v>Obese</v>
      </c>
    </row>
    <row r="2234" spans="1:12" x14ac:dyDescent="0.2">
      <c r="A2234">
        <v>2233</v>
      </c>
      <c r="B2234">
        <v>2</v>
      </c>
      <c r="C2234">
        <v>123</v>
      </c>
      <c r="D2234">
        <v>48</v>
      </c>
      <c r="E2234">
        <v>32</v>
      </c>
      <c r="F2234">
        <v>165</v>
      </c>
      <c r="G2234">
        <v>42.1</v>
      </c>
      <c r="H2234">
        <v>0.52</v>
      </c>
      <c r="I2234">
        <v>26</v>
      </c>
      <c r="J2234">
        <v>0</v>
      </c>
      <c r="K2234" t="str">
        <f t="shared" si="68"/>
        <v>Young</v>
      </c>
      <c r="L2234" t="str">
        <f t="shared" si="69"/>
        <v>Obese</v>
      </c>
    </row>
    <row r="2235" spans="1:12" x14ac:dyDescent="0.2">
      <c r="A2235">
        <v>2234</v>
      </c>
      <c r="B2235">
        <v>4</v>
      </c>
      <c r="C2235">
        <v>115</v>
      </c>
      <c r="D2235">
        <v>72</v>
      </c>
      <c r="E2235">
        <v>0</v>
      </c>
      <c r="F2235">
        <v>0</v>
      </c>
      <c r="G2235">
        <v>28.9</v>
      </c>
      <c r="H2235">
        <v>0.376</v>
      </c>
      <c r="I2235">
        <v>46</v>
      </c>
      <c r="J2235">
        <v>1</v>
      </c>
      <c r="K2235" t="str">
        <f t="shared" si="68"/>
        <v>Senior</v>
      </c>
      <c r="L2235" t="str">
        <f t="shared" si="69"/>
        <v>Overweight</v>
      </c>
    </row>
    <row r="2236" spans="1:12" x14ac:dyDescent="0.2">
      <c r="A2236">
        <v>2235</v>
      </c>
      <c r="B2236">
        <v>0</v>
      </c>
      <c r="C2236">
        <v>101</v>
      </c>
      <c r="D2236">
        <v>62</v>
      </c>
      <c r="E2236">
        <v>0</v>
      </c>
      <c r="F2236">
        <v>0</v>
      </c>
      <c r="G2236">
        <v>21.9</v>
      </c>
      <c r="H2236">
        <v>0.33600000000000002</v>
      </c>
      <c r="I2236">
        <v>25</v>
      </c>
      <c r="J2236">
        <v>0</v>
      </c>
      <c r="K2236" t="str">
        <f t="shared" si="68"/>
        <v>Young</v>
      </c>
      <c r="L2236" t="str">
        <f t="shared" si="69"/>
        <v>Normal</v>
      </c>
    </row>
    <row r="2237" spans="1:12" x14ac:dyDescent="0.2">
      <c r="A2237">
        <v>2236</v>
      </c>
      <c r="B2237">
        <v>8</v>
      </c>
      <c r="C2237">
        <v>197</v>
      </c>
      <c r="D2237">
        <v>74</v>
      </c>
      <c r="E2237">
        <v>0</v>
      </c>
      <c r="F2237">
        <v>0</v>
      </c>
      <c r="G2237">
        <v>25.9</v>
      </c>
      <c r="H2237">
        <v>1.1910000000000001</v>
      </c>
      <c r="I2237">
        <v>39</v>
      </c>
      <c r="J2237">
        <v>1</v>
      </c>
      <c r="K2237" t="str">
        <f t="shared" si="68"/>
        <v>Middle-Aged</v>
      </c>
      <c r="L2237" t="str">
        <f t="shared" si="69"/>
        <v>Overweight</v>
      </c>
    </row>
    <row r="2238" spans="1:12" x14ac:dyDescent="0.2">
      <c r="A2238">
        <v>2237</v>
      </c>
      <c r="B2238">
        <v>1</v>
      </c>
      <c r="C2238">
        <v>172</v>
      </c>
      <c r="D2238">
        <v>68</v>
      </c>
      <c r="E2238">
        <v>49</v>
      </c>
      <c r="F2238">
        <v>579</v>
      </c>
      <c r="G2238">
        <v>42.4</v>
      </c>
      <c r="H2238">
        <v>0.70199999999999996</v>
      </c>
      <c r="I2238">
        <v>28</v>
      </c>
      <c r="J2238">
        <v>1</v>
      </c>
      <c r="K2238" t="str">
        <f t="shared" si="68"/>
        <v>Young</v>
      </c>
      <c r="L2238" t="str">
        <f t="shared" si="69"/>
        <v>Obese</v>
      </c>
    </row>
    <row r="2239" spans="1:12" x14ac:dyDescent="0.2">
      <c r="A2239">
        <v>2238</v>
      </c>
      <c r="B2239">
        <v>6</v>
      </c>
      <c r="C2239">
        <v>102</v>
      </c>
      <c r="D2239">
        <v>90</v>
      </c>
      <c r="E2239">
        <v>39</v>
      </c>
      <c r="F2239">
        <v>0</v>
      </c>
      <c r="G2239">
        <v>35.700000000000003</v>
      </c>
      <c r="H2239">
        <v>0.67400000000000004</v>
      </c>
      <c r="I2239">
        <v>28</v>
      </c>
      <c r="J2239">
        <v>0</v>
      </c>
      <c r="K2239" t="str">
        <f t="shared" si="68"/>
        <v>Young</v>
      </c>
      <c r="L2239" t="str">
        <f t="shared" si="69"/>
        <v>Obese</v>
      </c>
    </row>
    <row r="2240" spans="1:12" x14ac:dyDescent="0.2">
      <c r="A2240">
        <v>2239</v>
      </c>
      <c r="B2240">
        <v>1</v>
      </c>
      <c r="C2240">
        <v>112</v>
      </c>
      <c r="D2240">
        <v>72</v>
      </c>
      <c r="E2240">
        <v>30</v>
      </c>
      <c r="F2240">
        <v>176</v>
      </c>
      <c r="G2240">
        <v>34.4</v>
      </c>
      <c r="H2240">
        <v>0.52800000000000002</v>
      </c>
      <c r="I2240">
        <v>25</v>
      </c>
      <c r="J2240">
        <v>0</v>
      </c>
      <c r="K2240" t="str">
        <f t="shared" si="68"/>
        <v>Young</v>
      </c>
      <c r="L2240" t="str">
        <f t="shared" si="69"/>
        <v>Obese</v>
      </c>
    </row>
    <row r="2241" spans="1:12" x14ac:dyDescent="0.2">
      <c r="A2241">
        <v>2240</v>
      </c>
      <c r="B2241">
        <v>1</v>
      </c>
      <c r="C2241">
        <v>143</v>
      </c>
      <c r="D2241">
        <v>84</v>
      </c>
      <c r="E2241">
        <v>23</v>
      </c>
      <c r="F2241">
        <v>310</v>
      </c>
      <c r="G2241">
        <v>42.4</v>
      </c>
      <c r="H2241">
        <v>1.0760000000000001</v>
      </c>
      <c r="I2241">
        <v>22</v>
      </c>
      <c r="J2241">
        <v>0</v>
      </c>
      <c r="K2241" t="str">
        <f t="shared" si="68"/>
        <v>Young</v>
      </c>
      <c r="L2241" t="str">
        <f t="shared" si="69"/>
        <v>Obese</v>
      </c>
    </row>
    <row r="2242" spans="1:12" x14ac:dyDescent="0.2">
      <c r="A2242">
        <v>2241</v>
      </c>
      <c r="B2242">
        <v>1</v>
      </c>
      <c r="C2242">
        <v>143</v>
      </c>
      <c r="D2242">
        <v>74</v>
      </c>
      <c r="E2242">
        <v>22</v>
      </c>
      <c r="F2242">
        <v>61</v>
      </c>
      <c r="G2242">
        <v>26.2</v>
      </c>
      <c r="H2242">
        <v>0.25600000000000001</v>
      </c>
      <c r="I2242">
        <v>21</v>
      </c>
      <c r="J2242">
        <v>0</v>
      </c>
      <c r="K2242" t="str">
        <f t="shared" si="68"/>
        <v>Young</v>
      </c>
      <c r="L2242" t="str">
        <f t="shared" si="69"/>
        <v>Overweight</v>
      </c>
    </row>
    <row r="2243" spans="1:12" x14ac:dyDescent="0.2">
      <c r="A2243">
        <v>2242</v>
      </c>
      <c r="B2243">
        <v>0</v>
      </c>
      <c r="C2243">
        <v>138</v>
      </c>
      <c r="D2243">
        <v>60</v>
      </c>
      <c r="E2243">
        <v>35</v>
      </c>
      <c r="F2243">
        <v>167</v>
      </c>
      <c r="G2243">
        <v>34.6</v>
      </c>
      <c r="H2243">
        <v>0.53400000000000003</v>
      </c>
      <c r="I2243">
        <v>21</v>
      </c>
      <c r="J2243">
        <v>1</v>
      </c>
      <c r="K2243" t="str">
        <f t="shared" ref="K2243:K2306" si="70">IF(I2243&lt;30, "Young", IF( I2243&lt;45, "Middle-Aged", "Senior"))</f>
        <v>Young</v>
      </c>
      <c r="L2243" t="str">
        <f t="shared" ref="L2243:L2306" si="71">IF(G2243&lt;18.5, "Underweight", IF(G2243&lt;25, "Normal", IF(G2243&lt;30, "Overweight", "Obese")))</f>
        <v>Obese</v>
      </c>
    </row>
    <row r="2244" spans="1:12" x14ac:dyDescent="0.2">
      <c r="A2244">
        <v>2243</v>
      </c>
      <c r="B2244">
        <v>3</v>
      </c>
      <c r="C2244">
        <v>173</v>
      </c>
      <c r="D2244">
        <v>84</v>
      </c>
      <c r="E2244">
        <v>33</v>
      </c>
      <c r="F2244">
        <v>474</v>
      </c>
      <c r="G2244">
        <v>35.700000000000003</v>
      </c>
      <c r="H2244">
        <v>0.25800000000000001</v>
      </c>
      <c r="I2244">
        <v>22</v>
      </c>
      <c r="J2244">
        <v>1</v>
      </c>
      <c r="K2244" t="str">
        <f t="shared" si="70"/>
        <v>Young</v>
      </c>
      <c r="L2244" t="str">
        <f t="shared" si="71"/>
        <v>Obese</v>
      </c>
    </row>
    <row r="2245" spans="1:12" x14ac:dyDescent="0.2">
      <c r="A2245">
        <v>2244</v>
      </c>
      <c r="B2245">
        <v>1</v>
      </c>
      <c r="C2245">
        <v>97</v>
      </c>
      <c r="D2245">
        <v>68</v>
      </c>
      <c r="E2245">
        <v>21</v>
      </c>
      <c r="F2245">
        <v>0</v>
      </c>
      <c r="G2245">
        <v>27.2</v>
      </c>
      <c r="H2245">
        <v>1.095</v>
      </c>
      <c r="I2245">
        <v>22</v>
      </c>
      <c r="J2245">
        <v>0</v>
      </c>
      <c r="K2245" t="str">
        <f t="shared" si="70"/>
        <v>Young</v>
      </c>
      <c r="L2245" t="str">
        <f t="shared" si="71"/>
        <v>Overweight</v>
      </c>
    </row>
    <row r="2246" spans="1:12" x14ac:dyDescent="0.2">
      <c r="A2246">
        <v>2245</v>
      </c>
      <c r="B2246">
        <v>4</v>
      </c>
      <c r="C2246">
        <v>144</v>
      </c>
      <c r="D2246">
        <v>82</v>
      </c>
      <c r="E2246">
        <v>32</v>
      </c>
      <c r="F2246">
        <v>0</v>
      </c>
      <c r="G2246">
        <v>38.5</v>
      </c>
      <c r="H2246">
        <v>0.55400000000000005</v>
      </c>
      <c r="I2246">
        <v>37</v>
      </c>
      <c r="J2246">
        <v>1</v>
      </c>
      <c r="K2246" t="str">
        <f t="shared" si="70"/>
        <v>Middle-Aged</v>
      </c>
      <c r="L2246" t="str">
        <f t="shared" si="71"/>
        <v>Obese</v>
      </c>
    </row>
    <row r="2247" spans="1:12" x14ac:dyDescent="0.2">
      <c r="A2247">
        <v>2246</v>
      </c>
      <c r="B2247">
        <v>1</v>
      </c>
      <c r="C2247">
        <v>83</v>
      </c>
      <c r="D2247">
        <v>68</v>
      </c>
      <c r="E2247">
        <v>0</v>
      </c>
      <c r="F2247">
        <v>0</v>
      </c>
      <c r="G2247">
        <v>18.2</v>
      </c>
      <c r="H2247">
        <v>0.624</v>
      </c>
      <c r="I2247">
        <v>27</v>
      </c>
      <c r="J2247">
        <v>0</v>
      </c>
      <c r="K2247" t="str">
        <f t="shared" si="70"/>
        <v>Young</v>
      </c>
      <c r="L2247" t="str">
        <f t="shared" si="71"/>
        <v>Underweight</v>
      </c>
    </row>
    <row r="2248" spans="1:12" x14ac:dyDescent="0.2">
      <c r="A2248">
        <v>2247</v>
      </c>
      <c r="B2248">
        <v>3</v>
      </c>
      <c r="C2248">
        <v>129</v>
      </c>
      <c r="D2248">
        <v>64</v>
      </c>
      <c r="E2248">
        <v>29</v>
      </c>
      <c r="F2248">
        <v>115</v>
      </c>
      <c r="G2248">
        <v>26.4</v>
      </c>
      <c r="H2248">
        <v>0.219</v>
      </c>
      <c r="I2248">
        <v>28</v>
      </c>
      <c r="J2248">
        <v>1</v>
      </c>
      <c r="K2248" t="str">
        <f t="shared" si="70"/>
        <v>Young</v>
      </c>
      <c r="L2248" t="str">
        <f t="shared" si="71"/>
        <v>Overweight</v>
      </c>
    </row>
    <row r="2249" spans="1:12" x14ac:dyDescent="0.2">
      <c r="A2249">
        <v>2248</v>
      </c>
      <c r="B2249">
        <v>1</v>
      </c>
      <c r="C2249">
        <v>119</v>
      </c>
      <c r="D2249">
        <v>88</v>
      </c>
      <c r="E2249">
        <v>41</v>
      </c>
      <c r="F2249">
        <v>170</v>
      </c>
      <c r="G2249">
        <v>45.3</v>
      </c>
      <c r="H2249">
        <v>0.50700000000000001</v>
      </c>
      <c r="I2249">
        <v>26</v>
      </c>
      <c r="J2249">
        <v>0</v>
      </c>
      <c r="K2249" t="str">
        <f t="shared" si="70"/>
        <v>Young</v>
      </c>
      <c r="L2249" t="str">
        <f t="shared" si="71"/>
        <v>Obese</v>
      </c>
    </row>
    <row r="2250" spans="1:12" x14ac:dyDescent="0.2">
      <c r="A2250">
        <v>2249</v>
      </c>
      <c r="B2250">
        <v>2</v>
      </c>
      <c r="C2250">
        <v>94</v>
      </c>
      <c r="D2250">
        <v>68</v>
      </c>
      <c r="E2250">
        <v>18</v>
      </c>
      <c r="F2250">
        <v>76</v>
      </c>
      <c r="G2250">
        <v>26</v>
      </c>
      <c r="H2250">
        <v>0.56100000000000005</v>
      </c>
      <c r="I2250">
        <v>21</v>
      </c>
      <c r="J2250">
        <v>0</v>
      </c>
      <c r="K2250" t="str">
        <f t="shared" si="70"/>
        <v>Young</v>
      </c>
      <c r="L2250" t="str">
        <f t="shared" si="71"/>
        <v>Overweight</v>
      </c>
    </row>
    <row r="2251" spans="1:12" x14ac:dyDescent="0.2">
      <c r="A2251">
        <v>2250</v>
      </c>
      <c r="B2251">
        <v>0</v>
      </c>
      <c r="C2251">
        <v>102</v>
      </c>
      <c r="D2251">
        <v>64</v>
      </c>
      <c r="E2251">
        <v>46</v>
      </c>
      <c r="F2251">
        <v>78</v>
      </c>
      <c r="G2251">
        <v>40.6</v>
      </c>
      <c r="H2251">
        <v>0.496</v>
      </c>
      <c r="I2251">
        <v>21</v>
      </c>
      <c r="J2251">
        <v>0</v>
      </c>
      <c r="K2251" t="str">
        <f t="shared" si="70"/>
        <v>Young</v>
      </c>
      <c r="L2251" t="str">
        <f t="shared" si="71"/>
        <v>Obese</v>
      </c>
    </row>
    <row r="2252" spans="1:12" x14ac:dyDescent="0.2">
      <c r="A2252">
        <v>2251</v>
      </c>
      <c r="B2252">
        <v>2</v>
      </c>
      <c r="C2252">
        <v>115</v>
      </c>
      <c r="D2252">
        <v>64</v>
      </c>
      <c r="E2252">
        <v>22</v>
      </c>
      <c r="F2252">
        <v>0</v>
      </c>
      <c r="G2252">
        <v>30.8</v>
      </c>
      <c r="H2252">
        <v>0.42099999999999999</v>
      </c>
      <c r="I2252">
        <v>21</v>
      </c>
      <c r="J2252">
        <v>0</v>
      </c>
      <c r="K2252" t="str">
        <f t="shared" si="70"/>
        <v>Young</v>
      </c>
      <c r="L2252" t="str">
        <f t="shared" si="71"/>
        <v>Obese</v>
      </c>
    </row>
    <row r="2253" spans="1:12" x14ac:dyDescent="0.2">
      <c r="A2253">
        <v>2252</v>
      </c>
      <c r="B2253">
        <v>8</v>
      </c>
      <c r="C2253">
        <v>151</v>
      </c>
      <c r="D2253">
        <v>78</v>
      </c>
      <c r="E2253">
        <v>32</v>
      </c>
      <c r="F2253">
        <v>210</v>
      </c>
      <c r="G2253">
        <v>42.9</v>
      </c>
      <c r="H2253">
        <v>0.51600000000000001</v>
      </c>
      <c r="I2253">
        <v>36</v>
      </c>
      <c r="J2253">
        <v>1</v>
      </c>
      <c r="K2253" t="str">
        <f t="shared" si="70"/>
        <v>Middle-Aged</v>
      </c>
      <c r="L2253" t="str">
        <f t="shared" si="71"/>
        <v>Obese</v>
      </c>
    </row>
    <row r="2254" spans="1:12" x14ac:dyDescent="0.2">
      <c r="A2254">
        <v>2253</v>
      </c>
      <c r="B2254">
        <v>4</v>
      </c>
      <c r="C2254">
        <v>184</v>
      </c>
      <c r="D2254">
        <v>78</v>
      </c>
      <c r="E2254">
        <v>39</v>
      </c>
      <c r="F2254">
        <v>277</v>
      </c>
      <c r="G2254">
        <v>37</v>
      </c>
      <c r="H2254">
        <v>0.26400000000000001</v>
      </c>
      <c r="I2254">
        <v>31</v>
      </c>
      <c r="J2254">
        <v>1</v>
      </c>
      <c r="K2254" t="str">
        <f t="shared" si="70"/>
        <v>Middle-Aged</v>
      </c>
      <c r="L2254" t="str">
        <f t="shared" si="71"/>
        <v>Obese</v>
      </c>
    </row>
    <row r="2255" spans="1:12" x14ac:dyDescent="0.2">
      <c r="A2255">
        <v>2254</v>
      </c>
      <c r="B2255">
        <v>0</v>
      </c>
      <c r="C2255">
        <v>94</v>
      </c>
      <c r="D2255">
        <v>121</v>
      </c>
      <c r="E2255">
        <v>0</v>
      </c>
      <c r="F2255">
        <v>0</v>
      </c>
      <c r="G2255">
        <v>121</v>
      </c>
      <c r="H2255">
        <v>0.25600000000000001</v>
      </c>
      <c r="I2255">
        <v>25</v>
      </c>
      <c r="J2255">
        <v>0</v>
      </c>
      <c r="K2255" t="str">
        <f t="shared" si="70"/>
        <v>Young</v>
      </c>
      <c r="L2255" t="str">
        <f t="shared" si="71"/>
        <v>Obese</v>
      </c>
    </row>
    <row r="2256" spans="1:12" x14ac:dyDescent="0.2">
      <c r="A2256">
        <v>2255</v>
      </c>
      <c r="B2256">
        <v>1</v>
      </c>
      <c r="C2256">
        <v>181</v>
      </c>
      <c r="D2256">
        <v>64</v>
      </c>
      <c r="E2256">
        <v>30</v>
      </c>
      <c r="F2256">
        <v>180</v>
      </c>
      <c r="G2256">
        <v>34.1</v>
      </c>
      <c r="H2256">
        <v>0.32800000000000001</v>
      </c>
      <c r="I2256">
        <v>38</v>
      </c>
      <c r="J2256">
        <v>1</v>
      </c>
      <c r="K2256" t="str">
        <f t="shared" si="70"/>
        <v>Middle-Aged</v>
      </c>
      <c r="L2256" t="str">
        <f t="shared" si="71"/>
        <v>Obese</v>
      </c>
    </row>
    <row r="2257" spans="1:12" x14ac:dyDescent="0.2">
      <c r="A2257">
        <v>2256</v>
      </c>
      <c r="B2257">
        <v>0</v>
      </c>
      <c r="C2257">
        <v>135</v>
      </c>
      <c r="D2257">
        <v>94</v>
      </c>
      <c r="E2257">
        <v>46</v>
      </c>
      <c r="F2257">
        <v>145</v>
      </c>
      <c r="G2257">
        <v>40.6</v>
      </c>
      <c r="H2257">
        <v>0.28399999999999997</v>
      </c>
      <c r="I2257">
        <v>26</v>
      </c>
      <c r="J2257">
        <v>0</v>
      </c>
      <c r="K2257" t="str">
        <f t="shared" si="70"/>
        <v>Young</v>
      </c>
      <c r="L2257" t="str">
        <f t="shared" si="71"/>
        <v>Obese</v>
      </c>
    </row>
    <row r="2258" spans="1:12" x14ac:dyDescent="0.2">
      <c r="A2258">
        <v>2257</v>
      </c>
      <c r="B2258">
        <v>1</v>
      </c>
      <c r="C2258">
        <v>95</v>
      </c>
      <c r="D2258">
        <v>82</v>
      </c>
      <c r="E2258">
        <v>25</v>
      </c>
      <c r="F2258">
        <v>180</v>
      </c>
      <c r="G2258">
        <v>35</v>
      </c>
      <c r="H2258">
        <v>0.23300000000000001</v>
      </c>
      <c r="I2258">
        <v>43</v>
      </c>
      <c r="J2258">
        <v>1</v>
      </c>
      <c r="K2258" t="str">
        <f t="shared" si="70"/>
        <v>Middle-Aged</v>
      </c>
      <c r="L2258" t="str">
        <f t="shared" si="71"/>
        <v>Obese</v>
      </c>
    </row>
    <row r="2259" spans="1:12" x14ac:dyDescent="0.2">
      <c r="A2259">
        <v>2258</v>
      </c>
      <c r="B2259">
        <v>2</v>
      </c>
      <c r="C2259">
        <v>99</v>
      </c>
      <c r="D2259">
        <v>121</v>
      </c>
      <c r="E2259">
        <v>0</v>
      </c>
      <c r="F2259">
        <v>0</v>
      </c>
      <c r="G2259">
        <v>22.2</v>
      </c>
      <c r="H2259">
        <v>0.108</v>
      </c>
      <c r="I2259">
        <v>23</v>
      </c>
      <c r="J2259">
        <v>0</v>
      </c>
      <c r="K2259" t="str">
        <f t="shared" si="70"/>
        <v>Young</v>
      </c>
      <c r="L2259" t="str">
        <f t="shared" si="71"/>
        <v>Normal</v>
      </c>
    </row>
    <row r="2260" spans="1:12" x14ac:dyDescent="0.2">
      <c r="A2260">
        <v>2259</v>
      </c>
      <c r="B2260">
        <v>3</v>
      </c>
      <c r="C2260">
        <v>89</v>
      </c>
      <c r="D2260">
        <v>74</v>
      </c>
      <c r="E2260">
        <v>16</v>
      </c>
      <c r="F2260">
        <v>85</v>
      </c>
      <c r="G2260">
        <v>30.4</v>
      </c>
      <c r="H2260">
        <v>0.55100000000000005</v>
      </c>
      <c r="I2260">
        <v>38</v>
      </c>
      <c r="J2260">
        <v>0</v>
      </c>
      <c r="K2260" t="str">
        <f t="shared" si="70"/>
        <v>Middle-Aged</v>
      </c>
      <c r="L2260" t="str">
        <f t="shared" si="71"/>
        <v>Obese</v>
      </c>
    </row>
    <row r="2261" spans="1:12" x14ac:dyDescent="0.2">
      <c r="A2261">
        <v>2260</v>
      </c>
      <c r="B2261">
        <v>1</v>
      </c>
      <c r="C2261">
        <v>80</v>
      </c>
      <c r="D2261">
        <v>74</v>
      </c>
      <c r="E2261">
        <v>11</v>
      </c>
      <c r="F2261">
        <v>60</v>
      </c>
      <c r="G2261">
        <v>30</v>
      </c>
      <c r="H2261">
        <v>0.52700000000000002</v>
      </c>
      <c r="I2261">
        <v>22</v>
      </c>
      <c r="J2261">
        <v>0</v>
      </c>
      <c r="K2261" t="str">
        <f t="shared" si="70"/>
        <v>Young</v>
      </c>
      <c r="L2261" t="str">
        <f t="shared" si="71"/>
        <v>Obese</v>
      </c>
    </row>
    <row r="2262" spans="1:12" x14ac:dyDescent="0.2">
      <c r="A2262">
        <v>2261</v>
      </c>
      <c r="B2262">
        <v>2</v>
      </c>
      <c r="C2262">
        <v>139</v>
      </c>
      <c r="D2262">
        <v>75</v>
      </c>
      <c r="E2262">
        <v>0</v>
      </c>
      <c r="F2262">
        <v>0</v>
      </c>
      <c r="G2262">
        <v>25.6</v>
      </c>
      <c r="H2262">
        <v>0.16700000000000001</v>
      </c>
      <c r="I2262">
        <v>29</v>
      </c>
      <c r="J2262">
        <v>0</v>
      </c>
      <c r="K2262" t="str">
        <f t="shared" si="70"/>
        <v>Young</v>
      </c>
      <c r="L2262" t="str">
        <f t="shared" si="71"/>
        <v>Overweight</v>
      </c>
    </row>
    <row r="2263" spans="1:12" x14ac:dyDescent="0.2">
      <c r="A2263">
        <v>2262</v>
      </c>
      <c r="B2263">
        <v>1</v>
      </c>
      <c r="C2263">
        <v>90</v>
      </c>
      <c r="D2263">
        <v>68</v>
      </c>
      <c r="E2263">
        <v>8</v>
      </c>
      <c r="F2263">
        <v>0</v>
      </c>
      <c r="G2263">
        <v>24.5</v>
      </c>
      <c r="H2263">
        <v>1.1379999999999999</v>
      </c>
      <c r="I2263">
        <v>36</v>
      </c>
      <c r="J2263">
        <v>0</v>
      </c>
      <c r="K2263" t="str">
        <f t="shared" si="70"/>
        <v>Middle-Aged</v>
      </c>
      <c r="L2263" t="str">
        <f t="shared" si="71"/>
        <v>Normal</v>
      </c>
    </row>
    <row r="2264" spans="1:12" x14ac:dyDescent="0.2">
      <c r="A2264">
        <v>2263</v>
      </c>
      <c r="B2264">
        <v>0</v>
      </c>
      <c r="C2264">
        <v>141</v>
      </c>
      <c r="D2264">
        <v>121</v>
      </c>
      <c r="E2264">
        <v>0</v>
      </c>
      <c r="F2264">
        <v>0</v>
      </c>
      <c r="G2264">
        <v>42.4</v>
      </c>
      <c r="H2264">
        <v>0.20499999999999999</v>
      </c>
      <c r="I2264">
        <v>29</v>
      </c>
      <c r="J2264">
        <v>1</v>
      </c>
      <c r="K2264" t="str">
        <f t="shared" si="70"/>
        <v>Young</v>
      </c>
      <c r="L2264" t="str">
        <f t="shared" si="71"/>
        <v>Obese</v>
      </c>
    </row>
    <row r="2265" spans="1:12" x14ac:dyDescent="0.2">
      <c r="A2265">
        <v>2264</v>
      </c>
      <c r="B2265">
        <v>12</v>
      </c>
      <c r="C2265">
        <v>140</v>
      </c>
      <c r="D2265">
        <v>85</v>
      </c>
      <c r="E2265">
        <v>33</v>
      </c>
      <c r="F2265">
        <v>0</v>
      </c>
      <c r="G2265">
        <v>37.4</v>
      </c>
      <c r="H2265">
        <v>0.24399999999999999</v>
      </c>
      <c r="I2265">
        <v>41</v>
      </c>
      <c r="J2265">
        <v>0</v>
      </c>
      <c r="K2265" t="str">
        <f t="shared" si="70"/>
        <v>Middle-Aged</v>
      </c>
      <c r="L2265" t="str">
        <f t="shared" si="71"/>
        <v>Obese</v>
      </c>
    </row>
    <row r="2266" spans="1:12" x14ac:dyDescent="0.2">
      <c r="A2266">
        <v>2265</v>
      </c>
      <c r="B2266">
        <v>5</v>
      </c>
      <c r="C2266">
        <v>147</v>
      </c>
      <c r="D2266">
        <v>75</v>
      </c>
      <c r="E2266">
        <v>0</v>
      </c>
      <c r="F2266">
        <v>0</v>
      </c>
      <c r="G2266">
        <v>29.9</v>
      </c>
      <c r="H2266">
        <v>0.434</v>
      </c>
      <c r="I2266">
        <v>28</v>
      </c>
      <c r="J2266">
        <v>0</v>
      </c>
      <c r="K2266" t="str">
        <f t="shared" si="70"/>
        <v>Young</v>
      </c>
      <c r="L2266" t="str">
        <f t="shared" si="71"/>
        <v>Overweight</v>
      </c>
    </row>
    <row r="2267" spans="1:12" x14ac:dyDescent="0.2">
      <c r="A2267">
        <v>2266</v>
      </c>
      <c r="B2267">
        <v>1</v>
      </c>
      <c r="C2267">
        <v>97</v>
      </c>
      <c r="D2267">
        <v>70</v>
      </c>
      <c r="E2267">
        <v>15</v>
      </c>
      <c r="F2267">
        <v>0</v>
      </c>
      <c r="G2267">
        <v>18.2</v>
      </c>
      <c r="H2267">
        <v>0.14699999999999999</v>
      </c>
      <c r="I2267">
        <v>21</v>
      </c>
      <c r="J2267">
        <v>0</v>
      </c>
      <c r="K2267" t="str">
        <f t="shared" si="70"/>
        <v>Young</v>
      </c>
      <c r="L2267" t="str">
        <f t="shared" si="71"/>
        <v>Underweight</v>
      </c>
    </row>
    <row r="2268" spans="1:12" x14ac:dyDescent="0.2">
      <c r="A2268">
        <v>2267</v>
      </c>
      <c r="B2268">
        <v>6</v>
      </c>
      <c r="C2268">
        <v>107</v>
      </c>
      <c r="D2268">
        <v>88</v>
      </c>
      <c r="E2268">
        <v>0</v>
      </c>
      <c r="F2268">
        <v>0</v>
      </c>
      <c r="G2268">
        <v>36.799999999999997</v>
      </c>
      <c r="H2268">
        <v>0.72699999999999998</v>
      </c>
      <c r="I2268">
        <v>31</v>
      </c>
      <c r="J2268">
        <v>0</v>
      </c>
      <c r="K2268" t="str">
        <f t="shared" si="70"/>
        <v>Middle-Aged</v>
      </c>
      <c r="L2268" t="str">
        <f t="shared" si="71"/>
        <v>Obese</v>
      </c>
    </row>
    <row r="2269" spans="1:12" x14ac:dyDescent="0.2">
      <c r="A2269">
        <v>2268</v>
      </c>
      <c r="B2269">
        <v>0</v>
      </c>
      <c r="C2269">
        <v>189</v>
      </c>
      <c r="D2269">
        <v>104</v>
      </c>
      <c r="E2269">
        <v>25</v>
      </c>
      <c r="F2269">
        <v>0</v>
      </c>
      <c r="G2269">
        <v>34.299999999999997</v>
      </c>
      <c r="H2269">
        <v>0.435</v>
      </c>
      <c r="I2269">
        <v>41</v>
      </c>
      <c r="J2269">
        <v>1</v>
      </c>
      <c r="K2269" t="str">
        <f t="shared" si="70"/>
        <v>Middle-Aged</v>
      </c>
      <c r="L2269" t="str">
        <f t="shared" si="71"/>
        <v>Obese</v>
      </c>
    </row>
    <row r="2270" spans="1:12" x14ac:dyDescent="0.2">
      <c r="A2270">
        <v>2269</v>
      </c>
      <c r="B2270">
        <v>2</v>
      </c>
      <c r="C2270">
        <v>83</v>
      </c>
      <c r="D2270">
        <v>66</v>
      </c>
      <c r="E2270">
        <v>23</v>
      </c>
      <c r="F2270">
        <v>50</v>
      </c>
      <c r="G2270">
        <v>32.200000000000003</v>
      </c>
      <c r="H2270">
        <v>0.497</v>
      </c>
      <c r="I2270">
        <v>22</v>
      </c>
      <c r="J2270">
        <v>0</v>
      </c>
      <c r="K2270" t="str">
        <f t="shared" si="70"/>
        <v>Young</v>
      </c>
      <c r="L2270" t="str">
        <f t="shared" si="71"/>
        <v>Obese</v>
      </c>
    </row>
    <row r="2271" spans="1:12" x14ac:dyDescent="0.2">
      <c r="A2271">
        <v>2270</v>
      </c>
      <c r="B2271">
        <v>4</v>
      </c>
      <c r="C2271">
        <v>117</v>
      </c>
      <c r="D2271">
        <v>64</v>
      </c>
      <c r="E2271">
        <v>27</v>
      </c>
      <c r="F2271">
        <v>120</v>
      </c>
      <c r="G2271">
        <v>33.200000000000003</v>
      </c>
      <c r="H2271">
        <v>0.23</v>
      </c>
      <c r="I2271">
        <v>24</v>
      </c>
      <c r="J2271">
        <v>0</v>
      </c>
      <c r="K2271" t="str">
        <f t="shared" si="70"/>
        <v>Young</v>
      </c>
      <c r="L2271" t="str">
        <f t="shared" si="71"/>
        <v>Obese</v>
      </c>
    </row>
    <row r="2272" spans="1:12" x14ac:dyDescent="0.2">
      <c r="A2272">
        <v>2271</v>
      </c>
      <c r="B2272">
        <v>8</v>
      </c>
      <c r="C2272">
        <v>108</v>
      </c>
      <c r="D2272">
        <v>70</v>
      </c>
      <c r="E2272">
        <v>0</v>
      </c>
      <c r="F2272">
        <v>0</v>
      </c>
      <c r="G2272">
        <v>30.5</v>
      </c>
      <c r="H2272">
        <v>0.95499999999999996</v>
      </c>
      <c r="I2272">
        <v>33</v>
      </c>
      <c r="J2272">
        <v>1</v>
      </c>
      <c r="K2272" t="str">
        <f t="shared" si="70"/>
        <v>Middle-Aged</v>
      </c>
      <c r="L2272" t="str">
        <f t="shared" si="71"/>
        <v>Obese</v>
      </c>
    </row>
    <row r="2273" spans="1:12" x14ac:dyDescent="0.2">
      <c r="A2273">
        <v>2272</v>
      </c>
      <c r="B2273">
        <v>4</v>
      </c>
      <c r="C2273">
        <v>117</v>
      </c>
      <c r="D2273">
        <v>62</v>
      </c>
      <c r="E2273">
        <v>12</v>
      </c>
      <c r="F2273">
        <v>0</v>
      </c>
      <c r="G2273">
        <v>29.7</v>
      </c>
      <c r="H2273">
        <v>0.38</v>
      </c>
      <c r="I2273">
        <v>30</v>
      </c>
      <c r="J2273">
        <v>1</v>
      </c>
      <c r="K2273" t="str">
        <f t="shared" si="70"/>
        <v>Middle-Aged</v>
      </c>
      <c r="L2273" t="str">
        <f t="shared" si="71"/>
        <v>Overweight</v>
      </c>
    </row>
    <row r="2274" spans="1:12" x14ac:dyDescent="0.2">
      <c r="A2274">
        <v>2273</v>
      </c>
      <c r="B2274">
        <v>0</v>
      </c>
      <c r="C2274">
        <v>180</v>
      </c>
      <c r="D2274">
        <v>78</v>
      </c>
      <c r="E2274">
        <v>63</v>
      </c>
      <c r="F2274">
        <v>14</v>
      </c>
      <c r="G2274">
        <v>59.4</v>
      </c>
      <c r="H2274">
        <v>2.42</v>
      </c>
      <c r="I2274">
        <v>25</v>
      </c>
      <c r="J2274">
        <v>1</v>
      </c>
      <c r="K2274" t="str">
        <f t="shared" si="70"/>
        <v>Young</v>
      </c>
      <c r="L2274" t="str">
        <f t="shared" si="71"/>
        <v>Obese</v>
      </c>
    </row>
    <row r="2275" spans="1:12" x14ac:dyDescent="0.2">
      <c r="A2275">
        <v>2274</v>
      </c>
      <c r="B2275">
        <v>1</v>
      </c>
      <c r="C2275">
        <v>100</v>
      </c>
      <c r="D2275">
        <v>72</v>
      </c>
      <c r="E2275">
        <v>12</v>
      </c>
      <c r="F2275">
        <v>70</v>
      </c>
      <c r="G2275">
        <v>25.3</v>
      </c>
      <c r="H2275">
        <v>0.65800000000000003</v>
      </c>
      <c r="I2275">
        <v>28</v>
      </c>
      <c r="J2275">
        <v>0</v>
      </c>
      <c r="K2275" t="str">
        <f t="shared" si="70"/>
        <v>Young</v>
      </c>
      <c r="L2275" t="str">
        <f t="shared" si="71"/>
        <v>Overweight</v>
      </c>
    </row>
    <row r="2276" spans="1:12" x14ac:dyDescent="0.2">
      <c r="A2276">
        <v>2275</v>
      </c>
      <c r="B2276">
        <v>0</v>
      </c>
      <c r="C2276">
        <v>95</v>
      </c>
      <c r="D2276">
        <v>80</v>
      </c>
      <c r="E2276">
        <v>45</v>
      </c>
      <c r="F2276">
        <v>92</v>
      </c>
      <c r="G2276">
        <v>36.5</v>
      </c>
      <c r="H2276">
        <v>0.33</v>
      </c>
      <c r="I2276">
        <v>26</v>
      </c>
      <c r="J2276">
        <v>0</v>
      </c>
      <c r="K2276" t="str">
        <f t="shared" si="70"/>
        <v>Young</v>
      </c>
      <c r="L2276" t="str">
        <f t="shared" si="71"/>
        <v>Obese</v>
      </c>
    </row>
    <row r="2277" spans="1:12" x14ac:dyDescent="0.2">
      <c r="A2277">
        <v>2276</v>
      </c>
      <c r="B2277">
        <v>0</v>
      </c>
      <c r="C2277">
        <v>104</v>
      </c>
      <c r="D2277">
        <v>64</v>
      </c>
      <c r="E2277">
        <v>37</v>
      </c>
      <c r="F2277">
        <v>64</v>
      </c>
      <c r="G2277">
        <v>33.6</v>
      </c>
      <c r="H2277">
        <v>0.51</v>
      </c>
      <c r="I2277">
        <v>22</v>
      </c>
      <c r="J2277">
        <v>1</v>
      </c>
      <c r="K2277" t="str">
        <f t="shared" si="70"/>
        <v>Young</v>
      </c>
      <c r="L2277" t="str">
        <f t="shared" si="71"/>
        <v>Obese</v>
      </c>
    </row>
    <row r="2278" spans="1:12" x14ac:dyDescent="0.2">
      <c r="A2278">
        <v>2277</v>
      </c>
      <c r="B2278">
        <v>0</v>
      </c>
      <c r="C2278">
        <v>120</v>
      </c>
      <c r="D2278">
        <v>74</v>
      </c>
      <c r="E2278">
        <v>18</v>
      </c>
      <c r="F2278">
        <v>63</v>
      </c>
      <c r="G2278">
        <v>30.5</v>
      </c>
      <c r="H2278">
        <v>0.28499999999999998</v>
      </c>
      <c r="I2278">
        <v>26</v>
      </c>
      <c r="J2278">
        <v>0</v>
      </c>
      <c r="K2278" t="str">
        <f t="shared" si="70"/>
        <v>Young</v>
      </c>
      <c r="L2278" t="str">
        <f t="shared" si="71"/>
        <v>Obese</v>
      </c>
    </row>
    <row r="2279" spans="1:12" x14ac:dyDescent="0.2">
      <c r="A2279">
        <v>2278</v>
      </c>
      <c r="B2279">
        <v>1</v>
      </c>
      <c r="C2279">
        <v>82</v>
      </c>
      <c r="D2279">
        <v>64</v>
      </c>
      <c r="E2279">
        <v>13</v>
      </c>
      <c r="F2279">
        <v>95</v>
      </c>
      <c r="G2279">
        <v>21.2</v>
      </c>
      <c r="H2279">
        <v>0.41499999999999998</v>
      </c>
      <c r="I2279">
        <v>23</v>
      </c>
      <c r="J2279">
        <v>0</v>
      </c>
      <c r="K2279" t="str">
        <f t="shared" si="70"/>
        <v>Young</v>
      </c>
      <c r="L2279" t="str">
        <f t="shared" si="71"/>
        <v>Normal</v>
      </c>
    </row>
    <row r="2280" spans="1:12" x14ac:dyDescent="0.2">
      <c r="A2280">
        <v>2279</v>
      </c>
      <c r="B2280">
        <v>2</v>
      </c>
      <c r="C2280">
        <v>134</v>
      </c>
      <c r="D2280">
        <v>70</v>
      </c>
      <c r="E2280">
        <v>0</v>
      </c>
      <c r="F2280">
        <v>0</v>
      </c>
      <c r="G2280">
        <v>28.9</v>
      </c>
      <c r="H2280">
        <v>0.54200000000000004</v>
      </c>
      <c r="I2280">
        <v>23</v>
      </c>
      <c r="J2280">
        <v>1</v>
      </c>
      <c r="K2280" t="str">
        <f t="shared" si="70"/>
        <v>Young</v>
      </c>
      <c r="L2280" t="str">
        <f t="shared" si="71"/>
        <v>Overweight</v>
      </c>
    </row>
    <row r="2281" spans="1:12" x14ac:dyDescent="0.2">
      <c r="A2281">
        <v>2280</v>
      </c>
      <c r="B2281">
        <v>0</v>
      </c>
      <c r="C2281">
        <v>91</v>
      </c>
      <c r="D2281">
        <v>68</v>
      </c>
      <c r="E2281">
        <v>32</v>
      </c>
      <c r="F2281">
        <v>210</v>
      </c>
      <c r="G2281">
        <v>39.9</v>
      </c>
      <c r="H2281">
        <v>0.38100000000000001</v>
      </c>
      <c r="I2281">
        <v>25</v>
      </c>
      <c r="J2281">
        <v>0</v>
      </c>
      <c r="K2281" t="str">
        <f t="shared" si="70"/>
        <v>Young</v>
      </c>
      <c r="L2281" t="str">
        <f t="shared" si="71"/>
        <v>Obese</v>
      </c>
    </row>
    <row r="2282" spans="1:12" x14ac:dyDescent="0.2">
      <c r="A2282">
        <v>2281</v>
      </c>
      <c r="B2282">
        <v>2</v>
      </c>
      <c r="C2282">
        <v>119</v>
      </c>
      <c r="D2282">
        <v>121</v>
      </c>
      <c r="E2282">
        <v>0</v>
      </c>
      <c r="F2282">
        <v>0</v>
      </c>
      <c r="G2282">
        <v>19.600000000000001</v>
      </c>
      <c r="H2282">
        <v>0.83199999999999996</v>
      </c>
      <c r="I2282">
        <v>72</v>
      </c>
      <c r="J2282">
        <v>0</v>
      </c>
      <c r="K2282" t="str">
        <f t="shared" si="70"/>
        <v>Senior</v>
      </c>
      <c r="L2282" t="str">
        <f t="shared" si="71"/>
        <v>Normal</v>
      </c>
    </row>
    <row r="2283" spans="1:12" x14ac:dyDescent="0.2">
      <c r="A2283">
        <v>2282</v>
      </c>
      <c r="B2283">
        <v>2</v>
      </c>
      <c r="C2283">
        <v>100</v>
      </c>
      <c r="D2283">
        <v>54</v>
      </c>
      <c r="E2283">
        <v>28</v>
      </c>
      <c r="F2283">
        <v>105</v>
      </c>
      <c r="G2283">
        <v>37.799999999999997</v>
      </c>
      <c r="H2283">
        <v>0.498</v>
      </c>
      <c r="I2283">
        <v>24</v>
      </c>
      <c r="J2283">
        <v>0</v>
      </c>
      <c r="K2283" t="str">
        <f t="shared" si="70"/>
        <v>Young</v>
      </c>
      <c r="L2283" t="str">
        <f t="shared" si="71"/>
        <v>Obese</v>
      </c>
    </row>
    <row r="2284" spans="1:12" x14ac:dyDescent="0.2">
      <c r="A2284">
        <v>2283</v>
      </c>
      <c r="B2284">
        <v>14</v>
      </c>
      <c r="C2284">
        <v>175</v>
      </c>
      <c r="D2284">
        <v>62</v>
      </c>
      <c r="E2284">
        <v>30</v>
      </c>
      <c r="F2284">
        <v>0</v>
      </c>
      <c r="G2284">
        <v>33.6</v>
      </c>
      <c r="H2284">
        <v>0.21199999999999999</v>
      </c>
      <c r="I2284">
        <v>38</v>
      </c>
      <c r="J2284">
        <v>1</v>
      </c>
      <c r="K2284" t="str">
        <f t="shared" si="70"/>
        <v>Middle-Aged</v>
      </c>
      <c r="L2284" t="str">
        <f t="shared" si="71"/>
        <v>Obese</v>
      </c>
    </row>
    <row r="2285" spans="1:12" x14ac:dyDescent="0.2">
      <c r="A2285">
        <v>2284</v>
      </c>
      <c r="B2285">
        <v>1</v>
      </c>
      <c r="C2285">
        <v>135</v>
      </c>
      <c r="D2285">
        <v>54</v>
      </c>
      <c r="E2285">
        <v>0</v>
      </c>
      <c r="F2285">
        <v>0</v>
      </c>
      <c r="G2285">
        <v>26.7</v>
      </c>
      <c r="H2285">
        <v>0.68700000000000006</v>
      </c>
      <c r="I2285">
        <v>62</v>
      </c>
      <c r="J2285">
        <v>0</v>
      </c>
      <c r="K2285" t="str">
        <f t="shared" si="70"/>
        <v>Senior</v>
      </c>
      <c r="L2285" t="str">
        <f t="shared" si="71"/>
        <v>Overweight</v>
      </c>
    </row>
    <row r="2286" spans="1:12" x14ac:dyDescent="0.2">
      <c r="A2286">
        <v>2285</v>
      </c>
      <c r="B2286">
        <v>5</v>
      </c>
      <c r="C2286">
        <v>86</v>
      </c>
      <c r="D2286">
        <v>68</v>
      </c>
      <c r="E2286">
        <v>28</v>
      </c>
      <c r="F2286">
        <v>71</v>
      </c>
      <c r="G2286">
        <v>30.2</v>
      </c>
      <c r="H2286">
        <v>0.36399999999999999</v>
      </c>
      <c r="I2286">
        <v>24</v>
      </c>
      <c r="J2286">
        <v>0</v>
      </c>
      <c r="K2286" t="str">
        <f t="shared" si="70"/>
        <v>Young</v>
      </c>
      <c r="L2286" t="str">
        <f t="shared" si="71"/>
        <v>Obese</v>
      </c>
    </row>
    <row r="2287" spans="1:12" x14ac:dyDescent="0.2">
      <c r="A2287">
        <v>2286</v>
      </c>
      <c r="B2287">
        <v>10</v>
      </c>
      <c r="C2287">
        <v>148</v>
      </c>
      <c r="D2287">
        <v>84</v>
      </c>
      <c r="E2287">
        <v>48</v>
      </c>
      <c r="F2287">
        <v>237</v>
      </c>
      <c r="G2287">
        <v>37.6</v>
      </c>
      <c r="H2287">
        <v>1.0009999999999999</v>
      </c>
      <c r="I2287">
        <v>51</v>
      </c>
      <c r="J2287">
        <v>1</v>
      </c>
      <c r="K2287" t="str">
        <f t="shared" si="70"/>
        <v>Senior</v>
      </c>
      <c r="L2287" t="str">
        <f t="shared" si="71"/>
        <v>Obese</v>
      </c>
    </row>
    <row r="2288" spans="1:12" x14ac:dyDescent="0.2">
      <c r="A2288">
        <v>2287</v>
      </c>
      <c r="B2288">
        <v>9</v>
      </c>
      <c r="C2288">
        <v>134</v>
      </c>
      <c r="D2288">
        <v>74</v>
      </c>
      <c r="E2288">
        <v>33</v>
      </c>
      <c r="F2288">
        <v>60</v>
      </c>
      <c r="G2288">
        <v>25.9</v>
      </c>
      <c r="H2288">
        <v>0.46</v>
      </c>
      <c r="I2288">
        <v>81</v>
      </c>
      <c r="J2288">
        <v>0</v>
      </c>
      <c r="K2288" t="str">
        <f t="shared" si="70"/>
        <v>Senior</v>
      </c>
      <c r="L2288" t="str">
        <f t="shared" si="71"/>
        <v>Overweight</v>
      </c>
    </row>
    <row r="2289" spans="1:12" x14ac:dyDescent="0.2">
      <c r="A2289">
        <v>2288</v>
      </c>
      <c r="B2289">
        <v>9</v>
      </c>
      <c r="C2289">
        <v>120</v>
      </c>
      <c r="D2289">
        <v>72</v>
      </c>
      <c r="E2289">
        <v>22</v>
      </c>
      <c r="F2289">
        <v>56</v>
      </c>
      <c r="G2289">
        <v>20.8</v>
      </c>
      <c r="H2289">
        <v>0.73299999999999998</v>
      </c>
      <c r="I2289">
        <v>48</v>
      </c>
      <c r="J2289">
        <v>0</v>
      </c>
      <c r="K2289" t="str">
        <f t="shared" si="70"/>
        <v>Senior</v>
      </c>
      <c r="L2289" t="str">
        <f t="shared" si="71"/>
        <v>Normal</v>
      </c>
    </row>
    <row r="2290" spans="1:12" x14ac:dyDescent="0.2">
      <c r="A2290">
        <v>2289</v>
      </c>
      <c r="B2290">
        <v>1</v>
      </c>
      <c r="C2290">
        <v>71</v>
      </c>
      <c r="D2290">
        <v>62</v>
      </c>
      <c r="E2290">
        <v>0</v>
      </c>
      <c r="F2290">
        <v>0</v>
      </c>
      <c r="G2290">
        <v>21.8</v>
      </c>
      <c r="H2290">
        <v>0.41599999999999998</v>
      </c>
      <c r="I2290">
        <v>26</v>
      </c>
      <c r="J2290">
        <v>0</v>
      </c>
      <c r="K2290" t="str">
        <f t="shared" si="70"/>
        <v>Young</v>
      </c>
      <c r="L2290" t="str">
        <f t="shared" si="71"/>
        <v>Normal</v>
      </c>
    </row>
    <row r="2291" spans="1:12" x14ac:dyDescent="0.2">
      <c r="A2291">
        <v>2290</v>
      </c>
      <c r="B2291">
        <v>8</v>
      </c>
      <c r="C2291">
        <v>74</v>
      </c>
      <c r="D2291">
        <v>70</v>
      </c>
      <c r="E2291">
        <v>40</v>
      </c>
      <c r="F2291">
        <v>49</v>
      </c>
      <c r="G2291">
        <v>35.299999999999997</v>
      </c>
      <c r="H2291">
        <v>0.70499999999999996</v>
      </c>
      <c r="I2291">
        <v>39</v>
      </c>
      <c r="J2291">
        <v>0</v>
      </c>
      <c r="K2291" t="str">
        <f t="shared" si="70"/>
        <v>Middle-Aged</v>
      </c>
      <c r="L2291" t="str">
        <f t="shared" si="71"/>
        <v>Obese</v>
      </c>
    </row>
    <row r="2292" spans="1:12" x14ac:dyDescent="0.2">
      <c r="A2292">
        <v>2291</v>
      </c>
      <c r="B2292">
        <v>5</v>
      </c>
      <c r="C2292">
        <v>88</v>
      </c>
      <c r="D2292">
        <v>78</v>
      </c>
      <c r="E2292">
        <v>30</v>
      </c>
      <c r="F2292">
        <v>0</v>
      </c>
      <c r="G2292">
        <v>27.6</v>
      </c>
      <c r="H2292">
        <v>0.25800000000000001</v>
      </c>
      <c r="I2292">
        <v>37</v>
      </c>
      <c r="J2292">
        <v>0</v>
      </c>
      <c r="K2292" t="str">
        <f t="shared" si="70"/>
        <v>Middle-Aged</v>
      </c>
      <c r="L2292" t="str">
        <f t="shared" si="71"/>
        <v>Overweight</v>
      </c>
    </row>
    <row r="2293" spans="1:12" x14ac:dyDescent="0.2">
      <c r="A2293">
        <v>2292</v>
      </c>
      <c r="B2293">
        <v>10</v>
      </c>
      <c r="C2293">
        <v>115</v>
      </c>
      <c r="D2293">
        <v>98</v>
      </c>
      <c r="E2293">
        <v>0</v>
      </c>
      <c r="F2293">
        <v>0</v>
      </c>
      <c r="G2293">
        <v>24</v>
      </c>
      <c r="H2293">
        <v>1.022</v>
      </c>
      <c r="I2293">
        <v>34</v>
      </c>
      <c r="J2293">
        <v>0</v>
      </c>
      <c r="K2293" t="str">
        <f t="shared" si="70"/>
        <v>Middle-Aged</v>
      </c>
      <c r="L2293" t="str">
        <f t="shared" si="71"/>
        <v>Normal</v>
      </c>
    </row>
    <row r="2294" spans="1:12" x14ac:dyDescent="0.2">
      <c r="A2294">
        <v>2293</v>
      </c>
      <c r="B2294">
        <v>0</v>
      </c>
      <c r="C2294">
        <v>124</v>
      </c>
      <c r="D2294">
        <v>56</v>
      </c>
      <c r="E2294">
        <v>13</v>
      </c>
      <c r="F2294">
        <v>105</v>
      </c>
      <c r="G2294">
        <v>21.8</v>
      </c>
      <c r="H2294">
        <v>0.45200000000000001</v>
      </c>
      <c r="I2294">
        <v>21</v>
      </c>
      <c r="J2294">
        <v>0</v>
      </c>
      <c r="K2294" t="str">
        <f t="shared" si="70"/>
        <v>Young</v>
      </c>
      <c r="L2294" t="str">
        <f t="shared" si="71"/>
        <v>Normal</v>
      </c>
    </row>
    <row r="2295" spans="1:12" x14ac:dyDescent="0.2">
      <c r="A2295">
        <v>2294</v>
      </c>
      <c r="B2295">
        <v>0</v>
      </c>
      <c r="C2295">
        <v>74</v>
      </c>
      <c r="D2295">
        <v>52</v>
      </c>
      <c r="E2295">
        <v>10</v>
      </c>
      <c r="F2295">
        <v>36</v>
      </c>
      <c r="G2295">
        <v>27.8</v>
      </c>
      <c r="H2295">
        <v>0.26900000000000002</v>
      </c>
      <c r="I2295">
        <v>22</v>
      </c>
      <c r="J2295">
        <v>0</v>
      </c>
      <c r="K2295" t="str">
        <f t="shared" si="70"/>
        <v>Young</v>
      </c>
      <c r="L2295" t="str">
        <f t="shared" si="71"/>
        <v>Overweight</v>
      </c>
    </row>
    <row r="2296" spans="1:12" x14ac:dyDescent="0.2">
      <c r="A2296">
        <v>2295</v>
      </c>
      <c r="B2296">
        <v>0</v>
      </c>
      <c r="C2296">
        <v>97</v>
      </c>
      <c r="D2296">
        <v>64</v>
      </c>
      <c r="E2296">
        <v>36</v>
      </c>
      <c r="F2296">
        <v>100</v>
      </c>
      <c r="G2296">
        <v>36.799999999999997</v>
      </c>
      <c r="H2296">
        <v>0.6</v>
      </c>
      <c r="I2296">
        <v>25</v>
      </c>
      <c r="J2296">
        <v>0</v>
      </c>
      <c r="K2296" t="str">
        <f t="shared" si="70"/>
        <v>Young</v>
      </c>
      <c r="L2296" t="str">
        <f t="shared" si="71"/>
        <v>Obese</v>
      </c>
    </row>
    <row r="2297" spans="1:12" x14ac:dyDescent="0.2">
      <c r="A2297">
        <v>2296</v>
      </c>
      <c r="B2297">
        <v>8</v>
      </c>
      <c r="C2297">
        <v>120</v>
      </c>
      <c r="D2297">
        <v>121</v>
      </c>
      <c r="E2297">
        <v>0</v>
      </c>
      <c r="F2297">
        <v>0</v>
      </c>
      <c r="G2297">
        <v>30</v>
      </c>
      <c r="H2297">
        <v>0.183</v>
      </c>
      <c r="I2297">
        <v>38</v>
      </c>
      <c r="J2297">
        <v>1</v>
      </c>
      <c r="K2297" t="str">
        <f t="shared" si="70"/>
        <v>Middle-Aged</v>
      </c>
      <c r="L2297" t="str">
        <f t="shared" si="71"/>
        <v>Obese</v>
      </c>
    </row>
    <row r="2298" spans="1:12" x14ac:dyDescent="0.2">
      <c r="A2298">
        <v>2297</v>
      </c>
      <c r="B2298">
        <v>6</v>
      </c>
      <c r="C2298">
        <v>154</v>
      </c>
      <c r="D2298">
        <v>78</v>
      </c>
      <c r="E2298">
        <v>41</v>
      </c>
      <c r="F2298">
        <v>140</v>
      </c>
      <c r="G2298">
        <v>46.1</v>
      </c>
      <c r="H2298">
        <v>0.57099999999999995</v>
      </c>
      <c r="I2298">
        <v>27</v>
      </c>
      <c r="J2298">
        <v>0</v>
      </c>
      <c r="K2298" t="str">
        <f t="shared" si="70"/>
        <v>Young</v>
      </c>
      <c r="L2298" t="str">
        <f t="shared" si="71"/>
        <v>Obese</v>
      </c>
    </row>
    <row r="2299" spans="1:12" x14ac:dyDescent="0.2">
      <c r="A2299">
        <v>2298</v>
      </c>
      <c r="B2299">
        <v>1</v>
      </c>
      <c r="C2299">
        <v>144</v>
      </c>
      <c r="D2299">
        <v>82</v>
      </c>
      <c r="E2299">
        <v>40</v>
      </c>
      <c r="F2299">
        <v>0</v>
      </c>
      <c r="G2299">
        <v>41.3</v>
      </c>
      <c r="H2299">
        <v>0.60699999999999998</v>
      </c>
      <c r="I2299">
        <v>28</v>
      </c>
      <c r="J2299">
        <v>0</v>
      </c>
      <c r="K2299" t="str">
        <f t="shared" si="70"/>
        <v>Young</v>
      </c>
      <c r="L2299" t="str">
        <f t="shared" si="71"/>
        <v>Obese</v>
      </c>
    </row>
    <row r="2300" spans="1:12" x14ac:dyDescent="0.2">
      <c r="A2300">
        <v>2299</v>
      </c>
      <c r="B2300">
        <v>0</v>
      </c>
      <c r="C2300">
        <v>137</v>
      </c>
      <c r="D2300">
        <v>70</v>
      </c>
      <c r="E2300">
        <v>38</v>
      </c>
      <c r="F2300">
        <v>0</v>
      </c>
      <c r="G2300">
        <v>33.200000000000003</v>
      </c>
      <c r="H2300">
        <v>0.17</v>
      </c>
      <c r="I2300">
        <v>22</v>
      </c>
      <c r="J2300">
        <v>0</v>
      </c>
      <c r="K2300" t="str">
        <f t="shared" si="70"/>
        <v>Young</v>
      </c>
      <c r="L2300" t="str">
        <f t="shared" si="71"/>
        <v>Obese</v>
      </c>
    </row>
    <row r="2301" spans="1:12" x14ac:dyDescent="0.2">
      <c r="A2301">
        <v>2300</v>
      </c>
      <c r="B2301">
        <v>0</v>
      </c>
      <c r="C2301">
        <v>119</v>
      </c>
      <c r="D2301">
        <v>66</v>
      </c>
      <c r="E2301">
        <v>27</v>
      </c>
      <c r="F2301">
        <v>0</v>
      </c>
      <c r="G2301">
        <v>38.799999999999997</v>
      </c>
      <c r="H2301">
        <v>0.25900000000000001</v>
      </c>
      <c r="I2301">
        <v>22</v>
      </c>
      <c r="J2301">
        <v>0</v>
      </c>
      <c r="K2301" t="str">
        <f t="shared" si="70"/>
        <v>Young</v>
      </c>
      <c r="L2301" t="str">
        <f t="shared" si="71"/>
        <v>Obese</v>
      </c>
    </row>
    <row r="2302" spans="1:12" x14ac:dyDescent="0.2">
      <c r="A2302">
        <v>2301</v>
      </c>
      <c r="B2302">
        <v>7</v>
      </c>
      <c r="C2302">
        <v>136</v>
      </c>
      <c r="D2302">
        <v>90</v>
      </c>
      <c r="E2302">
        <v>0</v>
      </c>
      <c r="F2302">
        <v>0</v>
      </c>
      <c r="G2302">
        <v>29.9</v>
      </c>
      <c r="H2302">
        <v>0.21</v>
      </c>
      <c r="I2302">
        <v>50</v>
      </c>
      <c r="J2302">
        <v>0</v>
      </c>
      <c r="K2302" t="str">
        <f t="shared" si="70"/>
        <v>Senior</v>
      </c>
      <c r="L2302" t="str">
        <f t="shared" si="71"/>
        <v>Overweight</v>
      </c>
    </row>
    <row r="2303" spans="1:12" x14ac:dyDescent="0.2">
      <c r="A2303">
        <v>2302</v>
      </c>
      <c r="B2303">
        <v>4</v>
      </c>
      <c r="C2303">
        <v>114</v>
      </c>
      <c r="D2303">
        <v>64</v>
      </c>
      <c r="E2303">
        <v>0</v>
      </c>
      <c r="F2303">
        <v>0</v>
      </c>
      <c r="G2303">
        <v>28.9</v>
      </c>
      <c r="H2303">
        <v>0.126</v>
      </c>
      <c r="I2303">
        <v>24</v>
      </c>
      <c r="J2303">
        <v>0</v>
      </c>
      <c r="K2303" t="str">
        <f t="shared" si="70"/>
        <v>Young</v>
      </c>
      <c r="L2303" t="str">
        <f t="shared" si="71"/>
        <v>Overweight</v>
      </c>
    </row>
    <row r="2304" spans="1:12" x14ac:dyDescent="0.2">
      <c r="A2304">
        <v>2303</v>
      </c>
      <c r="B2304">
        <v>0</v>
      </c>
      <c r="C2304">
        <v>137</v>
      </c>
      <c r="D2304">
        <v>84</v>
      </c>
      <c r="E2304">
        <v>27</v>
      </c>
      <c r="F2304">
        <v>0</v>
      </c>
      <c r="G2304">
        <v>27.3</v>
      </c>
      <c r="H2304">
        <v>0.23100000000000001</v>
      </c>
      <c r="I2304">
        <v>59</v>
      </c>
      <c r="J2304">
        <v>0</v>
      </c>
      <c r="K2304" t="str">
        <f t="shared" si="70"/>
        <v>Senior</v>
      </c>
      <c r="L2304" t="str">
        <f t="shared" si="71"/>
        <v>Overweight</v>
      </c>
    </row>
    <row r="2305" spans="1:12" x14ac:dyDescent="0.2">
      <c r="A2305">
        <v>2304</v>
      </c>
      <c r="B2305">
        <v>2</v>
      </c>
      <c r="C2305">
        <v>105</v>
      </c>
      <c r="D2305">
        <v>80</v>
      </c>
      <c r="E2305">
        <v>45</v>
      </c>
      <c r="F2305">
        <v>191</v>
      </c>
      <c r="G2305">
        <v>33.700000000000003</v>
      </c>
      <c r="H2305">
        <v>0.71099999999999997</v>
      </c>
      <c r="I2305">
        <v>29</v>
      </c>
      <c r="J2305">
        <v>1</v>
      </c>
      <c r="K2305" t="str">
        <f t="shared" si="70"/>
        <v>Young</v>
      </c>
      <c r="L2305" t="str">
        <f t="shared" si="71"/>
        <v>Obese</v>
      </c>
    </row>
    <row r="2306" spans="1:12" x14ac:dyDescent="0.2">
      <c r="A2306">
        <v>2305</v>
      </c>
      <c r="B2306">
        <v>7</v>
      </c>
      <c r="C2306">
        <v>114</v>
      </c>
      <c r="D2306">
        <v>76</v>
      </c>
      <c r="E2306">
        <v>17</v>
      </c>
      <c r="F2306">
        <v>110</v>
      </c>
      <c r="G2306">
        <v>23.8</v>
      </c>
      <c r="H2306">
        <v>0.46600000000000003</v>
      </c>
      <c r="I2306">
        <v>31</v>
      </c>
      <c r="J2306">
        <v>0</v>
      </c>
      <c r="K2306" t="str">
        <f t="shared" si="70"/>
        <v>Middle-Aged</v>
      </c>
      <c r="L2306" t="str">
        <f t="shared" si="71"/>
        <v>Normal</v>
      </c>
    </row>
    <row r="2307" spans="1:12" x14ac:dyDescent="0.2">
      <c r="A2307">
        <v>2306</v>
      </c>
      <c r="B2307">
        <v>8</v>
      </c>
      <c r="C2307">
        <v>126</v>
      </c>
      <c r="D2307">
        <v>74</v>
      </c>
      <c r="E2307">
        <v>38</v>
      </c>
      <c r="F2307">
        <v>75</v>
      </c>
      <c r="G2307">
        <v>25.9</v>
      </c>
      <c r="H2307">
        <v>0.16200000000000001</v>
      </c>
      <c r="I2307">
        <v>39</v>
      </c>
      <c r="J2307">
        <v>0</v>
      </c>
      <c r="K2307" t="str">
        <f t="shared" ref="K2307:K2370" si="72">IF(I2307&lt;30, "Young", IF( I2307&lt;45, "Middle-Aged", "Senior"))</f>
        <v>Middle-Aged</v>
      </c>
      <c r="L2307" t="str">
        <f t="shared" ref="L2307:L2370" si="73">IF(G2307&lt;18.5, "Underweight", IF(G2307&lt;25, "Normal", IF(G2307&lt;30, "Overweight", "Obese")))</f>
        <v>Overweight</v>
      </c>
    </row>
    <row r="2308" spans="1:12" x14ac:dyDescent="0.2">
      <c r="A2308">
        <v>2307</v>
      </c>
      <c r="B2308">
        <v>4</v>
      </c>
      <c r="C2308">
        <v>132</v>
      </c>
      <c r="D2308">
        <v>86</v>
      </c>
      <c r="E2308">
        <v>31</v>
      </c>
      <c r="F2308">
        <v>0</v>
      </c>
      <c r="G2308">
        <v>28</v>
      </c>
      <c r="H2308">
        <v>0.41899999999999998</v>
      </c>
      <c r="I2308">
        <v>63</v>
      </c>
      <c r="J2308">
        <v>0</v>
      </c>
      <c r="K2308" t="str">
        <f t="shared" si="72"/>
        <v>Senior</v>
      </c>
      <c r="L2308" t="str">
        <f t="shared" si="73"/>
        <v>Overweight</v>
      </c>
    </row>
    <row r="2309" spans="1:12" x14ac:dyDescent="0.2">
      <c r="A2309">
        <v>2308</v>
      </c>
      <c r="B2309">
        <v>3</v>
      </c>
      <c r="C2309">
        <v>158</v>
      </c>
      <c r="D2309">
        <v>70</v>
      </c>
      <c r="E2309">
        <v>30</v>
      </c>
      <c r="F2309">
        <v>328</v>
      </c>
      <c r="G2309">
        <v>35.5</v>
      </c>
      <c r="H2309">
        <v>0.34399999999999997</v>
      </c>
      <c r="I2309">
        <v>35</v>
      </c>
      <c r="J2309">
        <v>1</v>
      </c>
      <c r="K2309" t="str">
        <f t="shared" si="72"/>
        <v>Middle-Aged</v>
      </c>
      <c r="L2309" t="str">
        <f t="shared" si="73"/>
        <v>Obese</v>
      </c>
    </row>
    <row r="2310" spans="1:12" x14ac:dyDescent="0.2">
      <c r="A2310">
        <v>2309</v>
      </c>
      <c r="B2310">
        <v>0</v>
      </c>
      <c r="C2310">
        <v>123</v>
      </c>
      <c r="D2310">
        <v>88</v>
      </c>
      <c r="E2310">
        <v>37</v>
      </c>
      <c r="F2310">
        <v>0</v>
      </c>
      <c r="G2310">
        <v>35.200000000000003</v>
      </c>
      <c r="H2310">
        <v>0.19700000000000001</v>
      </c>
      <c r="I2310">
        <v>29</v>
      </c>
      <c r="J2310">
        <v>0</v>
      </c>
      <c r="K2310" t="str">
        <f t="shared" si="72"/>
        <v>Young</v>
      </c>
      <c r="L2310" t="str">
        <f t="shared" si="73"/>
        <v>Obese</v>
      </c>
    </row>
    <row r="2311" spans="1:12" x14ac:dyDescent="0.2">
      <c r="A2311">
        <v>2310</v>
      </c>
      <c r="B2311">
        <v>4</v>
      </c>
      <c r="C2311">
        <v>85</v>
      </c>
      <c r="D2311">
        <v>58</v>
      </c>
      <c r="E2311">
        <v>22</v>
      </c>
      <c r="F2311">
        <v>49</v>
      </c>
      <c r="G2311">
        <v>27.8</v>
      </c>
      <c r="H2311">
        <v>0.30599999999999999</v>
      </c>
      <c r="I2311">
        <v>28</v>
      </c>
      <c r="J2311">
        <v>0</v>
      </c>
      <c r="K2311" t="str">
        <f t="shared" si="72"/>
        <v>Young</v>
      </c>
      <c r="L2311" t="str">
        <f t="shared" si="73"/>
        <v>Overweight</v>
      </c>
    </row>
    <row r="2312" spans="1:12" x14ac:dyDescent="0.2">
      <c r="A2312">
        <v>2311</v>
      </c>
      <c r="B2312">
        <v>0</v>
      </c>
      <c r="C2312">
        <v>84</v>
      </c>
      <c r="D2312">
        <v>82</v>
      </c>
      <c r="E2312">
        <v>31</v>
      </c>
      <c r="F2312">
        <v>125</v>
      </c>
      <c r="G2312">
        <v>38.200000000000003</v>
      </c>
      <c r="H2312">
        <v>0.23300000000000001</v>
      </c>
      <c r="I2312">
        <v>23</v>
      </c>
      <c r="J2312">
        <v>0</v>
      </c>
      <c r="K2312" t="str">
        <f t="shared" si="72"/>
        <v>Young</v>
      </c>
      <c r="L2312" t="str">
        <f t="shared" si="73"/>
        <v>Obese</v>
      </c>
    </row>
    <row r="2313" spans="1:12" x14ac:dyDescent="0.2">
      <c r="A2313">
        <v>2312</v>
      </c>
      <c r="B2313">
        <v>0</v>
      </c>
      <c r="C2313">
        <v>145</v>
      </c>
      <c r="D2313">
        <v>121</v>
      </c>
      <c r="E2313">
        <v>0</v>
      </c>
      <c r="F2313">
        <v>0</v>
      </c>
      <c r="G2313">
        <v>44.2</v>
      </c>
      <c r="H2313">
        <v>0.63</v>
      </c>
      <c r="I2313">
        <v>31</v>
      </c>
      <c r="J2313">
        <v>1</v>
      </c>
      <c r="K2313" t="str">
        <f t="shared" si="72"/>
        <v>Middle-Aged</v>
      </c>
      <c r="L2313" t="str">
        <f t="shared" si="73"/>
        <v>Obese</v>
      </c>
    </row>
    <row r="2314" spans="1:12" x14ac:dyDescent="0.2">
      <c r="A2314">
        <v>2313</v>
      </c>
      <c r="B2314">
        <v>0</v>
      </c>
      <c r="C2314">
        <v>135</v>
      </c>
      <c r="D2314">
        <v>68</v>
      </c>
      <c r="E2314">
        <v>42</v>
      </c>
      <c r="F2314">
        <v>250</v>
      </c>
      <c r="G2314">
        <v>42.3</v>
      </c>
      <c r="H2314">
        <v>0.36499999999999999</v>
      </c>
      <c r="I2314">
        <v>24</v>
      </c>
      <c r="J2314">
        <v>1</v>
      </c>
      <c r="K2314" t="str">
        <f t="shared" si="72"/>
        <v>Young</v>
      </c>
      <c r="L2314" t="str">
        <f t="shared" si="73"/>
        <v>Obese</v>
      </c>
    </row>
    <row r="2315" spans="1:12" x14ac:dyDescent="0.2">
      <c r="A2315">
        <v>2314</v>
      </c>
      <c r="B2315">
        <v>1</v>
      </c>
      <c r="C2315">
        <v>139</v>
      </c>
      <c r="D2315">
        <v>62</v>
      </c>
      <c r="E2315">
        <v>41</v>
      </c>
      <c r="F2315">
        <v>480</v>
      </c>
      <c r="G2315">
        <v>40.700000000000003</v>
      </c>
      <c r="H2315">
        <v>0.53600000000000003</v>
      </c>
      <c r="I2315">
        <v>21</v>
      </c>
      <c r="J2315">
        <v>0</v>
      </c>
      <c r="K2315" t="str">
        <f t="shared" si="72"/>
        <v>Young</v>
      </c>
      <c r="L2315" t="str">
        <f t="shared" si="73"/>
        <v>Obese</v>
      </c>
    </row>
    <row r="2316" spans="1:12" x14ac:dyDescent="0.2">
      <c r="A2316">
        <v>2315</v>
      </c>
      <c r="B2316">
        <v>0</v>
      </c>
      <c r="C2316">
        <v>173</v>
      </c>
      <c r="D2316">
        <v>78</v>
      </c>
      <c r="E2316">
        <v>32</v>
      </c>
      <c r="F2316">
        <v>265</v>
      </c>
      <c r="G2316">
        <v>46.5</v>
      </c>
      <c r="H2316">
        <v>1.159</v>
      </c>
      <c r="I2316">
        <v>58</v>
      </c>
      <c r="J2316">
        <v>0</v>
      </c>
      <c r="K2316" t="str">
        <f t="shared" si="72"/>
        <v>Senior</v>
      </c>
      <c r="L2316" t="str">
        <f t="shared" si="73"/>
        <v>Obese</v>
      </c>
    </row>
    <row r="2317" spans="1:12" x14ac:dyDescent="0.2">
      <c r="A2317">
        <v>2316</v>
      </c>
      <c r="B2317">
        <v>4</v>
      </c>
      <c r="C2317">
        <v>99</v>
      </c>
      <c r="D2317">
        <v>72</v>
      </c>
      <c r="E2317">
        <v>17</v>
      </c>
      <c r="F2317">
        <v>0</v>
      </c>
      <c r="G2317">
        <v>25.6</v>
      </c>
      <c r="H2317">
        <v>0.29399999999999998</v>
      </c>
      <c r="I2317">
        <v>28</v>
      </c>
      <c r="J2317">
        <v>0</v>
      </c>
      <c r="K2317" t="str">
        <f t="shared" si="72"/>
        <v>Young</v>
      </c>
      <c r="L2317" t="str">
        <f t="shared" si="73"/>
        <v>Overweight</v>
      </c>
    </row>
    <row r="2318" spans="1:12" x14ac:dyDescent="0.2">
      <c r="A2318">
        <v>2317</v>
      </c>
      <c r="B2318">
        <v>8</v>
      </c>
      <c r="C2318">
        <v>194</v>
      </c>
      <c r="D2318">
        <v>80</v>
      </c>
      <c r="E2318">
        <v>0</v>
      </c>
      <c r="F2318">
        <v>0</v>
      </c>
      <c r="G2318">
        <v>26.1</v>
      </c>
      <c r="H2318">
        <v>0.55100000000000005</v>
      </c>
      <c r="I2318">
        <v>67</v>
      </c>
      <c r="J2318">
        <v>0</v>
      </c>
      <c r="K2318" t="str">
        <f t="shared" si="72"/>
        <v>Senior</v>
      </c>
      <c r="L2318" t="str">
        <f t="shared" si="73"/>
        <v>Overweight</v>
      </c>
    </row>
    <row r="2319" spans="1:12" x14ac:dyDescent="0.2">
      <c r="A2319">
        <v>2318</v>
      </c>
      <c r="B2319">
        <v>2</v>
      </c>
      <c r="C2319">
        <v>83</v>
      </c>
      <c r="D2319">
        <v>65</v>
      </c>
      <c r="E2319">
        <v>28</v>
      </c>
      <c r="F2319">
        <v>66</v>
      </c>
      <c r="G2319">
        <v>36.799999999999997</v>
      </c>
      <c r="H2319">
        <v>0.629</v>
      </c>
      <c r="I2319">
        <v>24</v>
      </c>
      <c r="J2319">
        <v>0</v>
      </c>
      <c r="K2319" t="str">
        <f t="shared" si="72"/>
        <v>Young</v>
      </c>
      <c r="L2319" t="str">
        <f t="shared" si="73"/>
        <v>Obese</v>
      </c>
    </row>
    <row r="2320" spans="1:12" x14ac:dyDescent="0.2">
      <c r="A2320">
        <v>2319</v>
      </c>
      <c r="B2320">
        <v>2</v>
      </c>
      <c r="C2320">
        <v>89</v>
      </c>
      <c r="D2320">
        <v>90</v>
      </c>
      <c r="E2320">
        <v>30</v>
      </c>
      <c r="F2320">
        <v>0</v>
      </c>
      <c r="G2320">
        <v>33.5</v>
      </c>
      <c r="H2320">
        <v>0.29199999999999998</v>
      </c>
      <c r="I2320">
        <v>42</v>
      </c>
      <c r="J2320">
        <v>0</v>
      </c>
      <c r="K2320" t="str">
        <f t="shared" si="72"/>
        <v>Middle-Aged</v>
      </c>
      <c r="L2320" t="str">
        <f t="shared" si="73"/>
        <v>Obese</v>
      </c>
    </row>
    <row r="2321" spans="1:12" x14ac:dyDescent="0.2">
      <c r="A2321">
        <v>2320</v>
      </c>
      <c r="B2321">
        <v>4</v>
      </c>
      <c r="C2321">
        <v>99</v>
      </c>
      <c r="D2321">
        <v>68</v>
      </c>
      <c r="E2321">
        <v>38</v>
      </c>
      <c r="F2321">
        <v>0</v>
      </c>
      <c r="G2321">
        <v>32.799999999999997</v>
      </c>
      <c r="H2321">
        <v>0.14499999999999999</v>
      </c>
      <c r="I2321">
        <v>33</v>
      </c>
      <c r="J2321">
        <v>0</v>
      </c>
      <c r="K2321" t="str">
        <f t="shared" si="72"/>
        <v>Middle-Aged</v>
      </c>
      <c r="L2321" t="str">
        <f t="shared" si="73"/>
        <v>Obese</v>
      </c>
    </row>
    <row r="2322" spans="1:12" x14ac:dyDescent="0.2">
      <c r="A2322">
        <v>2321</v>
      </c>
      <c r="B2322">
        <v>4</v>
      </c>
      <c r="C2322">
        <v>125</v>
      </c>
      <c r="D2322">
        <v>70</v>
      </c>
      <c r="E2322">
        <v>18</v>
      </c>
      <c r="F2322">
        <v>122</v>
      </c>
      <c r="G2322">
        <v>28.9</v>
      </c>
      <c r="H2322">
        <v>1.1439999999999999</v>
      </c>
      <c r="I2322">
        <v>45</v>
      </c>
      <c r="J2322">
        <v>1</v>
      </c>
      <c r="K2322" t="str">
        <f t="shared" si="72"/>
        <v>Senior</v>
      </c>
      <c r="L2322" t="str">
        <f t="shared" si="73"/>
        <v>Overweight</v>
      </c>
    </row>
    <row r="2323" spans="1:12" x14ac:dyDescent="0.2">
      <c r="A2323">
        <v>2322</v>
      </c>
      <c r="B2323">
        <v>3</v>
      </c>
      <c r="C2323">
        <v>80</v>
      </c>
      <c r="D2323">
        <v>121</v>
      </c>
      <c r="E2323">
        <v>0</v>
      </c>
      <c r="F2323">
        <v>0</v>
      </c>
      <c r="G2323">
        <v>121</v>
      </c>
      <c r="H2323">
        <v>0.17399999999999999</v>
      </c>
      <c r="I2323">
        <v>22</v>
      </c>
      <c r="J2323">
        <v>0</v>
      </c>
      <c r="K2323" t="str">
        <f t="shared" si="72"/>
        <v>Young</v>
      </c>
      <c r="L2323" t="str">
        <f t="shared" si="73"/>
        <v>Obese</v>
      </c>
    </row>
    <row r="2324" spans="1:12" x14ac:dyDescent="0.2">
      <c r="A2324">
        <v>2323</v>
      </c>
      <c r="B2324">
        <v>6</v>
      </c>
      <c r="C2324">
        <v>166</v>
      </c>
      <c r="D2324">
        <v>74</v>
      </c>
      <c r="E2324">
        <v>0</v>
      </c>
      <c r="F2324">
        <v>0</v>
      </c>
      <c r="G2324">
        <v>26.6</v>
      </c>
      <c r="H2324">
        <v>0.30399999999999999</v>
      </c>
      <c r="I2324">
        <v>66</v>
      </c>
      <c r="J2324">
        <v>0</v>
      </c>
      <c r="K2324" t="str">
        <f t="shared" si="72"/>
        <v>Senior</v>
      </c>
      <c r="L2324" t="str">
        <f t="shared" si="73"/>
        <v>Overweight</v>
      </c>
    </row>
    <row r="2325" spans="1:12" x14ac:dyDescent="0.2">
      <c r="A2325">
        <v>2324</v>
      </c>
      <c r="B2325">
        <v>5</v>
      </c>
      <c r="C2325">
        <v>110</v>
      </c>
      <c r="D2325">
        <v>68</v>
      </c>
      <c r="E2325">
        <v>0</v>
      </c>
      <c r="F2325">
        <v>0</v>
      </c>
      <c r="G2325">
        <v>26</v>
      </c>
      <c r="H2325">
        <v>0.29199999999999998</v>
      </c>
      <c r="I2325">
        <v>30</v>
      </c>
      <c r="J2325">
        <v>0</v>
      </c>
      <c r="K2325" t="str">
        <f t="shared" si="72"/>
        <v>Middle-Aged</v>
      </c>
      <c r="L2325" t="str">
        <f t="shared" si="73"/>
        <v>Overweight</v>
      </c>
    </row>
    <row r="2326" spans="1:12" x14ac:dyDescent="0.2">
      <c r="A2326">
        <v>2325</v>
      </c>
      <c r="B2326">
        <v>2</v>
      </c>
      <c r="C2326">
        <v>81</v>
      </c>
      <c r="D2326">
        <v>72</v>
      </c>
      <c r="E2326">
        <v>15</v>
      </c>
      <c r="F2326">
        <v>76</v>
      </c>
      <c r="G2326">
        <v>30.1</v>
      </c>
      <c r="H2326">
        <v>0.54700000000000004</v>
      </c>
      <c r="I2326">
        <v>25</v>
      </c>
      <c r="J2326">
        <v>0</v>
      </c>
      <c r="K2326" t="str">
        <f t="shared" si="72"/>
        <v>Young</v>
      </c>
      <c r="L2326" t="str">
        <f t="shared" si="73"/>
        <v>Obese</v>
      </c>
    </row>
    <row r="2327" spans="1:12" x14ac:dyDescent="0.2">
      <c r="A2327">
        <v>2326</v>
      </c>
      <c r="B2327">
        <v>7</v>
      </c>
      <c r="C2327">
        <v>195</v>
      </c>
      <c r="D2327">
        <v>70</v>
      </c>
      <c r="E2327">
        <v>33</v>
      </c>
      <c r="F2327">
        <v>145</v>
      </c>
      <c r="G2327">
        <v>25.1</v>
      </c>
      <c r="H2327">
        <v>0.16300000000000001</v>
      </c>
      <c r="I2327">
        <v>55</v>
      </c>
      <c r="J2327">
        <v>1</v>
      </c>
      <c r="K2327" t="str">
        <f t="shared" si="72"/>
        <v>Senior</v>
      </c>
      <c r="L2327" t="str">
        <f t="shared" si="73"/>
        <v>Overweight</v>
      </c>
    </row>
    <row r="2328" spans="1:12" x14ac:dyDescent="0.2">
      <c r="A2328">
        <v>2327</v>
      </c>
      <c r="B2328">
        <v>6</v>
      </c>
      <c r="C2328">
        <v>154</v>
      </c>
      <c r="D2328">
        <v>74</v>
      </c>
      <c r="E2328">
        <v>32</v>
      </c>
      <c r="F2328">
        <v>193</v>
      </c>
      <c r="G2328">
        <v>29.3</v>
      </c>
      <c r="H2328">
        <v>0.83899999999999997</v>
      </c>
      <c r="I2328">
        <v>39</v>
      </c>
      <c r="J2328">
        <v>0</v>
      </c>
      <c r="K2328" t="str">
        <f t="shared" si="72"/>
        <v>Middle-Aged</v>
      </c>
      <c r="L2328" t="str">
        <f t="shared" si="73"/>
        <v>Overweight</v>
      </c>
    </row>
    <row r="2329" spans="1:12" x14ac:dyDescent="0.2">
      <c r="A2329">
        <v>2328</v>
      </c>
      <c r="B2329">
        <v>0</v>
      </c>
      <c r="C2329">
        <v>136</v>
      </c>
      <c r="D2329">
        <v>74</v>
      </c>
      <c r="E2329">
        <v>49</v>
      </c>
      <c r="F2329">
        <v>220</v>
      </c>
      <c r="G2329">
        <v>20.100000000000001</v>
      </c>
      <c r="H2329">
        <v>0.82</v>
      </c>
      <c r="I2329">
        <v>44</v>
      </c>
      <c r="J2329">
        <v>1</v>
      </c>
      <c r="K2329" t="str">
        <f t="shared" si="72"/>
        <v>Middle-Aged</v>
      </c>
      <c r="L2329" t="str">
        <f t="shared" si="73"/>
        <v>Normal</v>
      </c>
    </row>
    <row r="2330" spans="1:12" x14ac:dyDescent="0.2">
      <c r="A2330">
        <v>2329</v>
      </c>
      <c r="B2330">
        <v>0</v>
      </c>
      <c r="C2330">
        <v>126</v>
      </c>
      <c r="D2330">
        <v>84</v>
      </c>
      <c r="E2330">
        <v>29</v>
      </c>
      <c r="F2330">
        <v>215</v>
      </c>
      <c r="G2330">
        <v>30.7</v>
      </c>
      <c r="H2330">
        <v>0.52</v>
      </c>
      <c r="I2330">
        <v>24</v>
      </c>
      <c r="J2330">
        <v>0</v>
      </c>
      <c r="K2330" t="str">
        <f t="shared" si="72"/>
        <v>Young</v>
      </c>
      <c r="L2330" t="str">
        <f t="shared" si="73"/>
        <v>Obese</v>
      </c>
    </row>
    <row r="2331" spans="1:12" x14ac:dyDescent="0.2">
      <c r="A2331">
        <v>2330</v>
      </c>
      <c r="B2331">
        <v>0</v>
      </c>
      <c r="C2331">
        <v>116</v>
      </c>
      <c r="D2331">
        <v>64</v>
      </c>
      <c r="E2331">
        <v>39</v>
      </c>
      <c r="F2331">
        <v>225</v>
      </c>
      <c r="G2331">
        <v>40.200000000000003</v>
      </c>
      <c r="H2331">
        <v>0.72</v>
      </c>
      <c r="I2331">
        <v>50</v>
      </c>
      <c r="J2331">
        <v>0</v>
      </c>
      <c r="K2331" t="str">
        <f t="shared" si="72"/>
        <v>Senior</v>
      </c>
      <c r="L2331" t="str">
        <f t="shared" si="73"/>
        <v>Obese</v>
      </c>
    </row>
    <row r="2332" spans="1:12" x14ac:dyDescent="0.2">
      <c r="A2332">
        <v>2331</v>
      </c>
      <c r="B2332">
        <v>2</v>
      </c>
      <c r="C2332">
        <v>142</v>
      </c>
      <c r="D2332">
        <v>94</v>
      </c>
      <c r="E2332">
        <v>59</v>
      </c>
      <c r="F2332">
        <v>177</v>
      </c>
      <c r="G2332">
        <v>38.299999999999997</v>
      </c>
      <c r="H2332">
        <v>0.62</v>
      </c>
      <c r="I2332">
        <v>63</v>
      </c>
      <c r="J2332">
        <v>1</v>
      </c>
      <c r="K2332" t="str">
        <f t="shared" si="72"/>
        <v>Senior</v>
      </c>
      <c r="L2332" t="str">
        <f t="shared" si="73"/>
        <v>Obese</v>
      </c>
    </row>
    <row r="2333" spans="1:12" x14ac:dyDescent="0.2">
      <c r="A2333">
        <v>2332</v>
      </c>
      <c r="B2333">
        <v>4</v>
      </c>
      <c r="C2333">
        <v>183</v>
      </c>
      <c r="D2333">
        <v>66</v>
      </c>
      <c r="E2333">
        <v>0</v>
      </c>
      <c r="F2333">
        <v>215</v>
      </c>
      <c r="G2333">
        <v>80.599999999999994</v>
      </c>
      <c r="H2333">
        <v>0.65400000000000003</v>
      </c>
      <c r="I2333">
        <v>40</v>
      </c>
      <c r="J2333">
        <v>0</v>
      </c>
      <c r="K2333" t="str">
        <f t="shared" si="72"/>
        <v>Middle-Aged</v>
      </c>
      <c r="L2333" t="str">
        <f t="shared" si="73"/>
        <v>Obese</v>
      </c>
    </row>
    <row r="2334" spans="1:12" x14ac:dyDescent="0.2">
      <c r="A2334">
        <v>2333</v>
      </c>
      <c r="B2334">
        <v>1</v>
      </c>
      <c r="C2334">
        <v>100</v>
      </c>
      <c r="D2334">
        <v>62</v>
      </c>
      <c r="E2334">
        <v>0</v>
      </c>
      <c r="F2334">
        <v>0</v>
      </c>
      <c r="G2334">
        <v>64.400000000000006</v>
      </c>
      <c r="H2334">
        <v>0.152</v>
      </c>
      <c r="I2334">
        <v>36</v>
      </c>
      <c r="J2334">
        <v>0</v>
      </c>
      <c r="K2334" t="str">
        <f t="shared" si="72"/>
        <v>Middle-Aged</v>
      </c>
      <c r="L2334" t="str">
        <f t="shared" si="73"/>
        <v>Obese</v>
      </c>
    </row>
    <row r="2335" spans="1:12" x14ac:dyDescent="0.2">
      <c r="A2335">
        <v>2334</v>
      </c>
      <c r="B2335">
        <v>0</v>
      </c>
      <c r="C2335">
        <v>163</v>
      </c>
      <c r="D2335">
        <v>40</v>
      </c>
      <c r="E2335">
        <v>23</v>
      </c>
      <c r="F2335">
        <v>64</v>
      </c>
      <c r="G2335">
        <v>40.700000000000003</v>
      </c>
      <c r="H2335">
        <v>0.32200000000000001</v>
      </c>
      <c r="I2335">
        <v>33</v>
      </c>
      <c r="J2335">
        <v>0</v>
      </c>
      <c r="K2335" t="str">
        <f t="shared" si="72"/>
        <v>Middle-Aged</v>
      </c>
      <c r="L2335" t="str">
        <f t="shared" si="73"/>
        <v>Obese</v>
      </c>
    </row>
    <row r="2336" spans="1:12" x14ac:dyDescent="0.2">
      <c r="A2336">
        <v>2335</v>
      </c>
      <c r="B2336">
        <v>6</v>
      </c>
      <c r="C2336">
        <v>139</v>
      </c>
      <c r="D2336">
        <v>84</v>
      </c>
      <c r="E2336">
        <v>37</v>
      </c>
      <c r="F2336">
        <v>0</v>
      </c>
      <c r="G2336">
        <v>50.7</v>
      </c>
      <c r="H2336">
        <v>0.32</v>
      </c>
      <c r="I2336">
        <v>50</v>
      </c>
      <c r="J2336">
        <v>1</v>
      </c>
      <c r="K2336" t="str">
        <f t="shared" si="72"/>
        <v>Senior</v>
      </c>
      <c r="L2336" t="str">
        <f t="shared" si="73"/>
        <v>Obese</v>
      </c>
    </row>
    <row r="2337" spans="1:12" x14ac:dyDescent="0.2">
      <c r="A2337">
        <v>2336</v>
      </c>
      <c r="B2337">
        <v>2</v>
      </c>
      <c r="C2337">
        <v>167</v>
      </c>
      <c r="D2337">
        <v>44</v>
      </c>
      <c r="E2337">
        <v>30</v>
      </c>
      <c r="F2337">
        <v>140</v>
      </c>
      <c r="G2337">
        <v>52.7</v>
      </c>
      <c r="H2337">
        <v>0.45200000000000001</v>
      </c>
      <c r="I2337">
        <v>28</v>
      </c>
      <c r="J2337">
        <v>0</v>
      </c>
      <c r="K2337" t="str">
        <f t="shared" si="72"/>
        <v>Young</v>
      </c>
      <c r="L2337" t="str">
        <f t="shared" si="73"/>
        <v>Obese</v>
      </c>
    </row>
    <row r="2338" spans="1:12" x14ac:dyDescent="0.2">
      <c r="A2338">
        <v>2337</v>
      </c>
      <c r="B2338">
        <v>3</v>
      </c>
      <c r="C2338">
        <v>162</v>
      </c>
      <c r="D2338">
        <v>121</v>
      </c>
      <c r="E2338">
        <v>110</v>
      </c>
      <c r="F2338">
        <v>215</v>
      </c>
      <c r="G2338">
        <v>48.7</v>
      </c>
      <c r="H2338">
        <v>0.52</v>
      </c>
      <c r="I2338">
        <v>24</v>
      </c>
      <c r="J2338">
        <v>0</v>
      </c>
      <c r="K2338" t="str">
        <f t="shared" si="72"/>
        <v>Young</v>
      </c>
      <c r="L2338" t="str">
        <f t="shared" si="73"/>
        <v>Obese</v>
      </c>
    </row>
    <row r="2339" spans="1:12" x14ac:dyDescent="0.2">
      <c r="A2339">
        <v>2338</v>
      </c>
      <c r="B2339">
        <v>0</v>
      </c>
      <c r="C2339">
        <v>173</v>
      </c>
      <c r="D2339">
        <v>78</v>
      </c>
      <c r="E2339">
        <v>32</v>
      </c>
      <c r="F2339">
        <v>265</v>
      </c>
      <c r="G2339">
        <v>46.5</v>
      </c>
      <c r="H2339">
        <v>1.159</v>
      </c>
      <c r="I2339">
        <v>58</v>
      </c>
      <c r="J2339">
        <v>0</v>
      </c>
      <c r="K2339" t="str">
        <f t="shared" si="72"/>
        <v>Senior</v>
      </c>
      <c r="L2339" t="str">
        <f t="shared" si="73"/>
        <v>Obese</v>
      </c>
    </row>
    <row r="2340" spans="1:12" x14ac:dyDescent="0.2">
      <c r="A2340">
        <v>2339</v>
      </c>
      <c r="B2340">
        <v>4</v>
      </c>
      <c r="C2340">
        <v>99</v>
      </c>
      <c r="D2340">
        <v>72</v>
      </c>
      <c r="E2340">
        <v>17</v>
      </c>
      <c r="F2340">
        <v>0</v>
      </c>
      <c r="G2340">
        <v>25.6</v>
      </c>
      <c r="H2340">
        <v>0.29399999999999998</v>
      </c>
      <c r="I2340">
        <v>28</v>
      </c>
      <c r="J2340">
        <v>0</v>
      </c>
      <c r="K2340" t="str">
        <f t="shared" si="72"/>
        <v>Young</v>
      </c>
      <c r="L2340" t="str">
        <f t="shared" si="73"/>
        <v>Overweight</v>
      </c>
    </row>
    <row r="2341" spans="1:12" x14ac:dyDescent="0.2">
      <c r="A2341">
        <v>2340</v>
      </c>
      <c r="B2341">
        <v>8</v>
      </c>
      <c r="C2341">
        <v>194</v>
      </c>
      <c r="D2341">
        <v>80</v>
      </c>
      <c r="E2341">
        <v>0</v>
      </c>
      <c r="F2341">
        <v>0</v>
      </c>
      <c r="G2341">
        <v>26.1</v>
      </c>
      <c r="H2341">
        <v>0.55100000000000005</v>
      </c>
      <c r="I2341">
        <v>67</v>
      </c>
      <c r="J2341">
        <v>0</v>
      </c>
      <c r="K2341" t="str">
        <f t="shared" si="72"/>
        <v>Senior</v>
      </c>
      <c r="L2341" t="str">
        <f t="shared" si="73"/>
        <v>Overweight</v>
      </c>
    </row>
    <row r="2342" spans="1:12" x14ac:dyDescent="0.2">
      <c r="A2342">
        <v>2341</v>
      </c>
      <c r="B2342">
        <v>2</v>
      </c>
      <c r="C2342">
        <v>83</v>
      </c>
      <c r="D2342">
        <v>65</v>
      </c>
      <c r="E2342">
        <v>28</v>
      </c>
      <c r="F2342">
        <v>66</v>
      </c>
      <c r="G2342">
        <v>36.799999999999997</v>
      </c>
      <c r="H2342">
        <v>0.629</v>
      </c>
      <c r="I2342">
        <v>24</v>
      </c>
      <c r="J2342">
        <v>0</v>
      </c>
      <c r="K2342" t="str">
        <f t="shared" si="72"/>
        <v>Young</v>
      </c>
      <c r="L2342" t="str">
        <f t="shared" si="73"/>
        <v>Obese</v>
      </c>
    </row>
    <row r="2343" spans="1:12" x14ac:dyDescent="0.2">
      <c r="A2343">
        <v>2342</v>
      </c>
      <c r="B2343">
        <v>2</v>
      </c>
      <c r="C2343">
        <v>89</v>
      </c>
      <c r="D2343">
        <v>90</v>
      </c>
      <c r="E2343">
        <v>30</v>
      </c>
      <c r="F2343">
        <v>0</v>
      </c>
      <c r="G2343">
        <v>33.5</v>
      </c>
      <c r="H2343">
        <v>0.29199999999999998</v>
      </c>
      <c r="I2343">
        <v>42</v>
      </c>
      <c r="J2343">
        <v>0</v>
      </c>
      <c r="K2343" t="str">
        <f t="shared" si="72"/>
        <v>Middle-Aged</v>
      </c>
      <c r="L2343" t="str">
        <f t="shared" si="73"/>
        <v>Obese</v>
      </c>
    </row>
    <row r="2344" spans="1:12" x14ac:dyDescent="0.2">
      <c r="A2344">
        <v>2343</v>
      </c>
      <c r="B2344">
        <v>4</v>
      </c>
      <c r="C2344">
        <v>99</v>
      </c>
      <c r="D2344">
        <v>68</v>
      </c>
      <c r="E2344">
        <v>38</v>
      </c>
      <c r="F2344">
        <v>0</v>
      </c>
      <c r="G2344">
        <v>32.799999999999997</v>
      </c>
      <c r="H2344">
        <v>0.14499999999999999</v>
      </c>
      <c r="I2344">
        <v>33</v>
      </c>
      <c r="J2344">
        <v>0</v>
      </c>
      <c r="K2344" t="str">
        <f t="shared" si="72"/>
        <v>Middle-Aged</v>
      </c>
      <c r="L2344" t="str">
        <f t="shared" si="73"/>
        <v>Obese</v>
      </c>
    </row>
    <row r="2345" spans="1:12" x14ac:dyDescent="0.2">
      <c r="A2345">
        <v>2344</v>
      </c>
      <c r="B2345">
        <v>4</v>
      </c>
      <c r="C2345">
        <v>125</v>
      </c>
      <c r="D2345">
        <v>70</v>
      </c>
      <c r="E2345">
        <v>18</v>
      </c>
      <c r="F2345">
        <v>122</v>
      </c>
      <c r="G2345">
        <v>28.9</v>
      </c>
      <c r="H2345">
        <v>1.1439999999999999</v>
      </c>
      <c r="I2345">
        <v>45</v>
      </c>
      <c r="J2345">
        <v>1</v>
      </c>
      <c r="K2345" t="str">
        <f t="shared" si="72"/>
        <v>Senior</v>
      </c>
      <c r="L2345" t="str">
        <f t="shared" si="73"/>
        <v>Overweight</v>
      </c>
    </row>
    <row r="2346" spans="1:12" x14ac:dyDescent="0.2">
      <c r="A2346">
        <v>2345</v>
      </c>
      <c r="B2346">
        <v>3</v>
      </c>
      <c r="C2346">
        <v>80</v>
      </c>
      <c r="D2346">
        <v>121</v>
      </c>
      <c r="E2346">
        <v>0</v>
      </c>
      <c r="F2346">
        <v>0</v>
      </c>
      <c r="G2346">
        <v>121</v>
      </c>
      <c r="H2346">
        <v>0.17399999999999999</v>
      </c>
      <c r="I2346">
        <v>22</v>
      </c>
      <c r="J2346">
        <v>0</v>
      </c>
      <c r="K2346" t="str">
        <f t="shared" si="72"/>
        <v>Young</v>
      </c>
      <c r="L2346" t="str">
        <f t="shared" si="73"/>
        <v>Obese</v>
      </c>
    </row>
    <row r="2347" spans="1:12" x14ac:dyDescent="0.2">
      <c r="A2347">
        <v>2346</v>
      </c>
      <c r="B2347">
        <v>6</v>
      </c>
      <c r="C2347">
        <v>166</v>
      </c>
      <c r="D2347">
        <v>74</v>
      </c>
      <c r="E2347">
        <v>0</v>
      </c>
      <c r="F2347">
        <v>0</v>
      </c>
      <c r="G2347">
        <v>26.6</v>
      </c>
      <c r="H2347">
        <v>0.30399999999999999</v>
      </c>
      <c r="I2347">
        <v>66</v>
      </c>
      <c r="J2347">
        <v>0</v>
      </c>
      <c r="K2347" t="str">
        <f t="shared" si="72"/>
        <v>Senior</v>
      </c>
      <c r="L2347" t="str">
        <f t="shared" si="73"/>
        <v>Overweight</v>
      </c>
    </row>
    <row r="2348" spans="1:12" x14ac:dyDescent="0.2">
      <c r="A2348">
        <v>2347</v>
      </c>
      <c r="B2348">
        <v>5</v>
      </c>
      <c r="C2348">
        <v>110</v>
      </c>
      <c r="D2348">
        <v>68</v>
      </c>
      <c r="E2348">
        <v>0</v>
      </c>
      <c r="F2348">
        <v>0</v>
      </c>
      <c r="G2348">
        <v>26</v>
      </c>
      <c r="H2348">
        <v>0.29199999999999998</v>
      </c>
      <c r="I2348">
        <v>30</v>
      </c>
      <c r="J2348">
        <v>0</v>
      </c>
      <c r="K2348" t="str">
        <f t="shared" si="72"/>
        <v>Middle-Aged</v>
      </c>
      <c r="L2348" t="str">
        <f t="shared" si="73"/>
        <v>Overweight</v>
      </c>
    </row>
    <row r="2349" spans="1:12" x14ac:dyDescent="0.2">
      <c r="A2349">
        <v>2348</v>
      </c>
      <c r="B2349">
        <v>2</v>
      </c>
      <c r="C2349">
        <v>81</v>
      </c>
      <c r="D2349">
        <v>72</v>
      </c>
      <c r="E2349">
        <v>15</v>
      </c>
      <c r="F2349">
        <v>76</v>
      </c>
      <c r="G2349">
        <v>30.1</v>
      </c>
      <c r="H2349">
        <v>0.54700000000000004</v>
      </c>
      <c r="I2349">
        <v>25</v>
      </c>
      <c r="J2349">
        <v>0</v>
      </c>
      <c r="K2349" t="str">
        <f t="shared" si="72"/>
        <v>Young</v>
      </c>
      <c r="L2349" t="str">
        <f t="shared" si="73"/>
        <v>Obese</v>
      </c>
    </row>
    <row r="2350" spans="1:12" x14ac:dyDescent="0.2">
      <c r="A2350">
        <v>2349</v>
      </c>
      <c r="B2350">
        <v>7</v>
      </c>
      <c r="C2350">
        <v>195</v>
      </c>
      <c r="D2350">
        <v>70</v>
      </c>
      <c r="E2350">
        <v>33</v>
      </c>
      <c r="F2350">
        <v>145</v>
      </c>
      <c r="G2350">
        <v>25.1</v>
      </c>
      <c r="H2350">
        <v>0.16300000000000001</v>
      </c>
      <c r="I2350">
        <v>55</v>
      </c>
      <c r="J2350">
        <v>1</v>
      </c>
      <c r="K2350" t="str">
        <f t="shared" si="72"/>
        <v>Senior</v>
      </c>
      <c r="L2350" t="str">
        <f t="shared" si="73"/>
        <v>Overweight</v>
      </c>
    </row>
    <row r="2351" spans="1:12" x14ac:dyDescent="0.2">
      <c r="A2351">
        <v>2350</v>
      </c>
      <c r="B2351">
        <v>6</v>
      </c>
      <c r="C2351">
        <v>154</v>
      </c>
      <c r="D2351">
        <v>74</v>
      </c>
      <c r="E2351">
        <v>32</v>
      </c>
      <c r="F2351">
        <v>193</v>
      </c>
      <c r="G2351">
        <v>29.3</v>
      </c>
      <c r="H2351">
        <v>0.83899999999999997</v>
      </c>
      <c r="I2351">
        <v>39</v>
      </c>
      <c r="J2351">
        <v>0</v>
      </c>
      <c r="K2351" t="str">
        <f t="shared" si="72"/>
        <v>Middle-Aged</v>
      </c>
      <c r="L2351" t="str">
        <f t="shared" si="73"/>
        <v>Overweight</v>
      </c>
    </row>
    <row r="2352" spans="1:12" x14ac:dyDescent="0.2">
      <c r="A2352">
        <v>2351</v>
      </c>
      <c r="B2352">
        <v>0</v>
      </c>
      <c r="C2352">
        <v>136</v>
      </c>
      <c r="D2352">
        <v>74</v>
      </c>
      <c r="E2352">
        <v>49</v>
      </c>
      <c r="F2352">
        <v>220</v>
      </c>
      <c r="G2352">
        <v>20.100000000000001</v>
      </c>
      <c r="H2352">
        <v>0.82</v>
      </c>
      <c r="I2352">
        <v>44</v>
      </c>
      <c r="J2352">
        <v>1</v>
      </c>
      <c r="K2352" t="str">
        <f t="shared" si="72"/>
        <v>Middle-Aged</v>
      </c>
      <c r="L2352" t="str">
        <f t="shared" si="73"/>
        <v>Normal</v>
      </c>
    </row>
    <row r="2353" spans="1:12" x14ac:dyDescent="0.2">
      <c r="A2353">
        <v>2352</v>
      </c>
      <c r="B2353">
        <v>0</v>
      </c>
      <c r="C2353">
        <v>126</v>
      </c>
      <c r="D2353">
        <v>84</v>
      </c>
      <c r="E2353">
        <v>29</v>
      </c>
      <c r="F2353">
        <v>215</v>
      </c>
      <c r="G2353">
        <v>30.7</v>
      </c>
      <c r="H2353">
        <v>0.52</v>
      </c>
      <c r="I2353">
        <v>24</v>
      </c>
      <c r="J2353">
        <v>0</v>
      </c>
      <c r="K2353" t="str">
        <f t="shared" si="72"/>
        <v>Young</v>
      </c>
      <c r="L2353" t="str">
        <f t="shared" si="73"/>
        <v>Obese</v>
      </c>
    </row>
    <row r="2354" spans="1:12" x14ac:dyDescent="0.2">
      <c r="A2354">
        <v>2353</v>
      </c>
      <c r="B2354">
        <v>0</v>
      </c>
      <c r="C2354">
        <v>116</v>
      </c>
      <c r="D2354">
        <v>64</v>
      </c>
      <c r="E2354">
        <v>39</v>
      </c>
      <c r="F2354">
        <v>225</v>
      </c>
      <c r="G2354">
        <v>40.200000000000003</v>
      </c>
      <c r="H2354">
        <v>0.72</v>
      </c>
      <c r="I2354">
        <v>50</v>
      </c>
      <c r="J2354">
        <v>0</v>
      </c>
      <c r="K2354" t="str">
        <f t="shared" si="72"/>
        <v>Senior</v>
      </c>
      <c r="L2354" t="str">
        <f t="shared" si="73"/>
        <v>Obese</v>
      </c>
    </row>
    <row r="2355" spans="1:12" x14ac:dyDescent="0.2">
      <c r="A2355">
        <v>2354</v>
      </c>
      <c r="B2355">
        <v>2</v>
      </c>
      <c r="C2355">
        <v>142</v>
      </c>
      <c r="D2355">
        <v>94</v>
      </c>
      <c r="E2355">
        <v>59</v>
      </c>
      <c r="F2355">
        <v>177</v>
      </c>
      <c r="G2355">
        <v>38.299999999999997</v>
      </c>
      <c r="H2355">
        <v>0.62</v>
      </c>
      <c r="I2355">
        <v>63</v>
      </c>
      <c r="J2355">
        <v>1</v>
      </c>
      <c r="K2355" t="str">
        <f t="shared" si="72"/>
        <v>Senior</v>
      </c>
      <c r="L2355" t="str">
        <f t="shared" si="73"/>
        <v>Obese</v>
      </c>
    </row>
    <row r="2356" spans="1:12" x14ac:dyDescent="0.2">
      <c r="A2356">
        <v>2355</v>
      </c>
      <c r="B2356">
        <v>4</v>
      </c>
      <c r="C2356">
        <v>183</v>
      </c>
      <c r="D2356">
        <v>66</v>
      </c>
      <c r="E2356">
        <v>0</v>
      </c>
      <c r="F2356">
        <v>215</v>
      </c>
      <c r="G2356">
        <v>80.599999999999994</v>
      </c>
      <c r="H2356">
        <v>0.65400000000000003</v>
      </c>
      <c r="I2356">
        <v>40</v>
      </c>
      <c r="J2356">
        <v>0</v>
      </c>
      <c r="K2356" t="str">
        <f t="shared" si="72"/>
        <v>Middle-Aged</v>
      </c>
      <c r="L2356" t="str">
        <f t="shared" si="73"/>
        <v>Obese</v>
      </c>
    </row>
    <row r="2357" spans="1:12" x14ac:dyDescent="0.2">
      <c r="A2357">
        <v>2356</v>
      </c>
      <c r="B2357">
        <v>1</v>
      </c>
      <c r="C2357">
        <v>100</v>
      </c>
      <c r="D2357">
        <v>62</v>
      </c>
      <c r="E2357">
        <v>0</v>
      </c>
      <c r="F2357">
        <v>0</v>
      </c>
      <c r="G2357">
        <v>64.400000000000006</v>
      </c>
      <c r="H2357">
        <v>0.152</v>
      </c>
      <c r="I2357">
        <v>36</v>
      </c>
      <c r="J2357">
        <v>0</v>
      </c>
      <c r="K2357" t="str">
        <f t="shared" si="72"/>
        <v>Middle-Aged</v>
      </c>
      <c r="L2357" t="str">
        <f t="shared" si="73"/>
        <v>Obese</v>
      </c>
    </row>
    <row r="2358" spans="1:12" x14ac:dyDescent="0.2">
      <c r="A2358">
        <v>2357</v>
      </c>
      <c r="B2358">
        <v>0</v>
      </c>
      <c r="C2358">
        <v>163</v>
      </c>
      <c r="D2358">
        <v>40</v>
      </c>
      <c r="E2358">
        <v>23</v>
      </c>
      <c r="F2358">
        <v>64</v>
      </c>
      <c r="G2358">
        <v>40.700000000000003</v>
      </c>
      <c r="H2358">
        <v>0.32200000000000001</v>
      </c>
      <c r="I2358">
        <v>33</v>
      </c>
      <c r="J2358">
        <v>0</v>
      </c>
      <c r="K2358" t="str">
        <f t="shared" si="72"/>
        <v>Middle-Aged</v>
      </c>
      <c r="L2358" t="str">
        <f t="shared" si="73"/>
        <v>Obese</v>
      </c>
    </row>
    <row r="2359" spans="1:12" x14ac:dyDescent="0.2">
      <c r="A2359">
        <v>2358</v>
      </c>
      <c r="B2359">
        <v>6</v>
      </c>
      <c r="C2359">
        <v>139</v>
      </c>
      <c r="D2359">
        <v>84</v>
      </c>
      <c r="E2359">
        <v>37</v>
      </c>
      <c r="F2359">
        <v>0</v>
      </c>
      <c r="G2359">
        <v>50.7</v>
      </c>
      <c r="H2359">
        <v>0.32</v>
      </c>
      <c r="I2359">
        <v>50</v>
      </c>
      <c r="J2359">
        <v>1</v>
      </c>
      <c r="K2359" t="str">
        <f t="shared" si="72"/>
        <v>Senior</v>
      </c>
      <c r="L2359" t="str">
        <f t="shared" si="73"/>
        <v>Obese</v>
      </c>
    </row>
    <row r="2360" spans="1:12" x14ac:dyDescent="0.2">
      <c r="A2360">
        <v>2359</v>
      </c>
      <c r="B2360">
        <v>2</v>
      </c>
      <c r="C2360">
        <v>167</v>
      </c>
      <c r="D2360">
        <v>44</v>
      </c>
      <c r="E2360">
        <v>30</v>
      </c>
      <c r="F2360">
        <v>140</v>
      </c>
      <c r="G2360">
        <v>52.7</v>
      </c>
      <c r="H2360">
        <v>0.45200000000000001</v>
      </c>
      <c r="I2360">
        <v>28</v>
      </c>
      <c r="J2360">
        <v>0</v>
      </c>
      <c r="K2360" t="str">
        <f t="shared" si="72"/>
        <v>Young</v>
      </c>
      <c r="L2360" t="str">
        <f t="shared" si="73"/>
        <v>Obese</v>
      </c>
    </row>
    <row r="2361" spans="1:12" x14ac:dyDescent="0.2">
      <c r="A2361">
        <v>2360</v>
      </c>
      <c r="B2361">
        <v>3</v>
      </c>
      <c r="C2361">
        <v>162</v>
      </c>
      <c r="D2361">
        <v>121</v>
      </c>
      <c r="E2361">
        <v>110</v>
      </c>
      <c r="F2361">
        <v>215</v>
      </c>
      <c r="G2361">
        <v>48.7</v>
      </c>
      <c r="H2361">
        <v>0.52</v>
      </c>
      <c r="I2361">
        <v>24</v>
      </c>
      <c r="J2361">
        <v>0</v>
      </c>
      <c r="K2361" t="str">
        <f t="shared" si="72"/>
        <v>Young</v>
      </c>
      <c r="L2361" t="str">
        <f t="shared" si="73"/>
        <v>Obese</v>
      </c>
    </row>
    <row r="2362" spans="1:12" x14ac:dyDescent="0.2">
      <c r="A2362">
        <v>2361</v>
      </c>
      <c r="B2362">
        <v>7</v>
      </c>
      <c r="C2362">
        <v>178</v>
      </c>
      <c r="D2362">
        <v>84</v>
      </c>
      <c r="E2362">
        <v>0</v>
      </c>
      <c r="F2362">
        <v>0</v>
      </c>
      <c r="G2362">
        <v>39.9</v>
      </c>
      <c r="H2362">
        <v>0.33100000000000002</v>
      </c>
      <c r="I2362">
        <v>41</v>
      </c>
      <c r="J2362">
        <v>1</v>
      </c>
      <c r="K2362" t="str">
        <f t="shared" si="72"/>
        <v>Middle-Aged</v>
      </c>
      <c r="L2362" t="str">
        <f t="shared" si="73"/>
        <v>Obese</v>
      </c>
    </row>
    <row r="2363" spans="1:12" x14ac:dyDescent="0.2">
      <c r="A2363">
        <v>2362</v>
      </c>
      <c r="B2363">
        <v>1</v>
      </c>
      <c r="C2363">
        <v>130</v>
      </c>
      <c r="D2363">
        <v>70</v>
      </c>
      <c r="E2363">
        <v>13</v>
      </c>
      <c r="F2363">
        <v>105</v>
      </c>
      <c r="G2363">
        <v>25.9</v>
      </c>
      <c r="H2363">
        <v>0.47199999999999998</v>
      </c>
      <c r="I2363">
        <v>22</v>
      </c>
      <c r="J2363">
        <v>0</v>
      </c>
      <c r="K2363" t="str">
        <f t="shared" si="72"/>
        <v>Young</v>
      </c>
      <c r="L2363" t="str">
        <f t="shared" si="73"/>
        <v>Overweight</v>
      </c>
    </row>
    <row r="2364" spans="1:12" x14ac:dyDescent="0.2">
      <c r="A2364">
        <v>2363</v>
      </c>
      <c r="B2364">
        <v>1</v>
      </c>
      <c r="C2364">
        <v>95</v>
      </c>
      <c r="D2364">
        <v>74</v>
      </c>
      <c r="E2364">
        <v>21</v>
      </c>
      <c r="F2364">
        <v>73</v>
      </c>
      <c r="G2364">
        <v>25.9</v>
      </c>
      <c r="H2364">
        <v>0.67300000000000004</v>
      </c>
      <c r="I2364">
        <v>36</v>
      </c>
      <c r="J2364">
        <v>0</v>
      </c>
      <c r="K2364" t="str">
        <f t="shared" si="72"/>
        <v>Middle-Aged</v>
      </c>
      <c r="L2364" t="str">
        <f t="shared" si="73"/>
        <v>Overweight</v>
      </c>
    </row>
    <row r="2365" spans="1:12" x14ac:dyDescent="0.2">
      <c r="A2365">
        <v>2364</v>
      </c>
      <c r="B2365">
        <v>1</v>
      </c>
      <c r="C2365">
        <v>121</v>
      </c>
      <c r="D2365">
        <v>68</v>
      </c>
      <c r="E2365">
        <v>35</v>
      </c>
      <c r="F2365">
        <v>0</v>
      </c>
      <c r="G2365">
        <v>32</v>
      </c>
      <c r="H2365">
        <v>0.38900000000000001</v>
      </c>
      <c r="I2365">
        <v>22</v>
      </c>
      <c r="J2365">
        <v>0</v>
      </c>
      <c r="K2365" t="str">
        <f t="shared" si="72"/>
        <v>Young</v>
      </c>
      <c r="L2365" t="str">
        <f t="shared" si="73"/>
        <v>Obese</v>
      </c>
    </row>
    <row r="2366" spans="1:12" x14ac:dyDescent="0.2">
      <c r="A2366">
        <v>2365</v>
      </c>
      <c r="B2366">
        <v>5</v>
      </c>
      <c r="C2366">
        <v>122</v>
      </c>
      <c r="D2366">
        <v>86</v>
      </c>
      <c r="E2366">
        <v>0</v>
      </c>
      <c r="F2366">
        <v>0</v>
      </c>
      <c r="G2366">
        <v>34.700000000000003</v>
      </c>
      <c r="H2366">
        <v>0.28999999999999998</v>
      </c>
      <c r="I2366">
        <v>33</v>
      </c>
      <c r="J2366">
        <v>0</v>
      </c>
      <c r="K2366" t="str">
        <f t="shared" si="72"/>
        <v>Middle-Aged</v>
      </c>
      <c r="L2366" t="str">
        <f t="shared" si="73"/>
        <v>Obese</v>
      </c>
    </row>
    <row r="2367" spans="1:12" x14ac:dyDescent="0.2">
      <c r="A2367">
        <v>2366</v>
      </c>
      <c r="B2367">
        <v>8</v>
      </c>
      <c r="C2367">
        <v>95</v>
      </c>
      <c r="D2367">
        <v>72</v>
      </c>
      <c r="E2367">
        <v>0</v>
      </c>
      <c r="F2367">
        <v>0</v>
      </c>
      <c r="G2367">
        <v>36.799999999999997</v>
      </c>
      <c r="H2367">
        <v>0.48499999999999999</v>
      </c>
      <c r="I2367">
        <v>57</v>
      </c>
      <c r="J2367">
        <v>0</v>
      </c>
      <c r="K2367" t="str">
        <f t="shared" si="72"/>
        <v>Senior</v>
      </c>
      <c r="L2367" t="str">
        <f t="shared" si="73"/>
        <v>Obese</v>
      </c>
    </row>
    <row r="2368" spans="1:12" x14ac:dyDescent="0.2">
      <c r="A2368">
        <v>2367</v>
      </c>
      <c r="B2368">
        <v>8</v>
      </c>
      <c r="C2368">
        <v>126</v>
      </c>
      <c r="D2368">
        <v>88</v>
      </c>
      <c r="E2368">
        <v>36</v>
      </c>
      <c r="F2368">
        <v>108</v>
      </c>
      <c r="G2368">
        <v>38.5</v>
      </c>
      <c r="H2368">
        <v>0.34899999999999998</v>
      </c>
      <c r="I2368">
        <v>49</v>
      </c>
      <c r="J2368">
        <v>0</v>
      </c>
      <c r="K2368" t="str">
        <f t="shared" si="72"/>
        <v>Senior</v>
      </c>
      <c r="L2368" t="str">
        <f t="shared" si="73"/>
        <v>Obese</v>
      </c>
    </row>
    <row r="2369" spans="1:12" x14ac:dyDescent="0.2">
      <c r="A2369">
        <v>2368</v>
      </c>
      <c r="B2369">
        <v>1</v>
      </c>
      <c r="C2369">
        <v>139</v>
      </c>
      <c r="D2369">
        <v>46</v>
      </c>
      <c r="E2369">
        <v>19</v>
      </c>
      <c r="F2369">
        <v>83</v>
      </c>
      <c r="G2369">
        <v>28.7</v>
      </c>
      <c r="H2369">
        <v>0.65400000000000003</v>
      </c>
      <c r="I2369">
        <v>22</v>
      </c>
      <c r="J2369">
        <v>0</v>
      </c>
      <c r="K2369" t="str">
        <f t="shared" si="72"/>
        <v>Young</v>
      </c>
      <c r="L2369" t="str">
        <f t="shared" si="73"/>
        <v>Overweight</v>
      </c>
    </row>
    <row r="2370" spans="1:12" x14ac:dyDescent="0.2">
      <c r="A2370">
        <v>2369</v>
      </c>
      <c r="B2370">
        <v>3</v>
      </c>
      <c r="C2370">
        <v>116</v>
      </c>
      <c r="D2370">
        <v>121</v>
      </c>
      <c r="E2370">
        <v>0</v>
      </c>
      <c r="F2370">
        <v>0</v>
      </c>
      <c r="G2370">
        <v>23.5</v>
      </c>
      <c r="H2370">
        <v>0.187</v>
      </c>
      <c r="I2370">
        <v>23</v>
      </c>
      <c r="J2370">
        <v>0</v>
      </c>
      <c r="K2370" t="str">
        <f t="shared" si="72"/>
        <v>Young</v>
      </c>
      <c r="L2370" t="str">
        <f t="shared" si="73"/>
        <v>Normal</v>
      </c>
    </row>
    <row r="2371" spans="1:12" x14ac:dyDescent="0.2">
      <c r="A2371">
        <v>2370</v>
      </c>
      <c r="B2371">
        <v>3</v>
      </c>
      <c r="C2371">
        <v>99</v>
      </c>
      <c r="D2371">
        <v>62</v>
      </c>
      <c r="E2371">
        <v>19</v>
      </c>
      <c r="F2371">
        <v>74</v>
      </c>
      <c r="G2371">
        <v>21.8</v>
      </c>
      <c r="H2371">
        <v>0.27900000000000003</v>
      </c>
      <c r="I2371">
        <v>26</v>
      </c>
      <c r="J2371">
        <v>0</v>
      </c>
      <c r="K2371" t="str">
        <f t="shared" ref="K2371:K2434" si="74">IF(I2371&lt;30, "Young", IF( I2371&lt;45, "Middle-Aged", "Senior"))</f>
        <v>Young</v>
      </c>
      <c r="L2371" t="str">
        <f t="shared" ref="L2371:L2434" si="75">IF(G2371&lt;18.5, "Underweight", IF(G2371&lt;25, "Normal", IF(G2371&lt;30, "Overweight", "Obese")))</f>
        <v>Normal</v>
      </c>
    </row>
    <row r="2372" spans="1:12" x14ac:dyDescent="0.2">
      <c r="A2372">
        <v>2371</v>
      </c>
      <c r="B2372">
        <v>5</v>
      </c>
      <c r="C2372">
        <v>121</v>
      </c>
      <c r="D2372">
        <v>80</v>
      </c>
      <c r="E2372">
        <v>32</v>
      </c>
      <c r="F2372">
        <v>0</v>
      </c>
      <c r="G2372">
        <v>41</v>
      </c>
      <c r="H2372">
        <v>0.34599999999999997</v>
      </c>
      <c r="I2372">
        <v>37</v>
      </c>
      <c r="J2372">
        <v>1</v>
      </c>
      <c r="K2372" t="str">
        <f t="shared" si="74"/>
        <v>Middle-Aged</v>
      </c>
      <c r="L2372" t="str">
        <f t="shared" si="75"/>
        <v>Obese</v>
      </c>
    </row>
    <row r="2373" spans="1:12" x14ac:dyDescent="0.2">
      <c r="A2373">
        <v>2372</v>
      </c>
      <c r="B2373">
        <v>4</v>
      </c>
      <c r="C2373">
        <v>92</v>
      </c>
      <c r="D2373">
        <v>80</v>
      </c>
      <c r="E2373">
        <v>0</v>
      </c>
      <c r="F2373">
        <v>0</v>
      </c>
      <c r="G2373">
        <v>42.2</v>
      </c>
      <c r="H2373">
        <v>0.23699999999999999</v>
      </c>
      <c r="I2373">
        <v>29</v>
      </c>
      <c r="J2373">
        <v>0</v>
      </c>
      <c r="K2373" t="str">
        <f t="shared" si="74"/>
        <v>Young</v>
      </c>
      <c r="L2373" t="str">
        <f t="shared" si="75"/>
        <v>Obese</v>
      </c>
    </row>
    <row r="2374" spans="1:12" x14ac:dyDescent="0.2">
      <c r="A2374">
        <v>2373</v>
      </c>
      <c r="B2374">
        <v>4</v>
      </c>
      <c r="C2374">
        <v>137</v>
      </c>
      <c r="D2374">
        <v>84</v>
      </c>
      <c r="E2374">
        <v>0</v>
      </c>
      <c r="F2374">
        <v>0</v>
      </c>
      <c r="G2374">
        <v>31.2</v>
      </c>
      <c r="H2374">
        <v>0.252</v>
      </c>
      <c r="I2374">
        <v>30</v>
      </c>
      <c r="J2374">
        <v>0</v>
      </c>
      <c r="K2374" t="str">
        <f t="shared" si="74"/>
        <v>Middle-Aged</v>
      </c>
      <c r="L2374" t="str">
        <f t="shared" si="75"/>
        <v>Obese</v>
      </c>
    </row>
    <row r="2375" spans="1:12" x14ac:dyDescent="0.2">
      <c r="A2375">
        <v>2374</v>
      </c>
      <c r="B2375">
        <v>3</v>
      </c>
      <c r="C2375">
        <v>61</v>
      </c>
      <c r="D2375">
        <v>82</v>
      </c>
      <c r="E2375">
        <v>28</v>
      </c>
      <c r="F2375">
        <v>0</v>
      </c>
      <c r="G2375">
        <v>34.4</v>
      </c>
      <c r="H2375">
        <v>0.24299999999999999</v>
      </c>
      <c r="I2375">
        <v>46</v>
      </c>
      <c r="J2375">
        <v>0</v>
      </c>
      <c r="K2375" t="str">
        <f t="shared" si="74"/>
        <v>Senior</v>
      </c>
      <c r="L2375" t="str">
        <f t="shared" si="75"/>
        <v>Obese</v>
      </c>
    </row>
    <row r="2376" spans="1:12" x14ac:dyDescent="0.2">
      <c r="A2376">
        <v>2375</v>
      </c>
      <c r="B2376">
        <v>1</v>
      </c>
      <c r="C2376">
        <v>90</v>
      </c>
      <c r="D2376">
        <v>62</v>
      </c>
      <c r="E2376">
        <v>12</v>
      </c>
      <c r="F2376">
        <v>43</v>
      </c>
      <c r="G2376">
        <v>27.2</v>
      </c>
      <c r="H2376">
        <v>0.57999999999999996</v>
      </c>
      <c r="I2376">
        <v>24</v>
      </c>
      <c r="J2376">
        <v>0</v>
      </c>
      <c r="K2376" t="str">
        <f t="shared" si="74"/>
        <v>Young</v>
      </c>
      <c r="L2376" t="str">
        <f t="shared" si="75"/>
        <v>Overweight</v>
      </c>
    </row>
    <row r="2377" spans="1:12" x14ac:dyDescent="0.2">
      <c r="A2377">
        <v>2376</v>
      </c>
      <c r="B2377">
        <v>3</v>
      </c>
      <c r="C2377">
        <v>90</v>
      </c>
      <c r="D2377">
        <v>78</v>
      </c>
      <c r="E2377">
        <v>0</v>
      </c>
      <c r="F2377">
        <v>0</v>
      </c>
      <c r="G2377">
        <v>42.7</v>
      </c>
      <c r="H2377">
        <v>0.55900000000000005</v>
      </c>
      <c r="I2377">
        <v>21</v>
      </c>
      <c r="J2377">
        <v>0</v>
      </c>
      <c r="K2377" t="str">
        <f t="shared" si="74"/>
        <v>Young</v>
      </c>
      <c r="L2377" t="str">
        <f t="shared" si="75"/>
        <v>Obese</v>
      </c>
    </row>
    <row r="2378" spans="1:12" x14ac:dyDescent="0.2">
      <c r="A2378">
        <v>2377</v>
      </c>
      <c r="B2378">
        <v>9</v>
      </c>
      <c r="C2378">
        <v>165</v>
      </c>
      <c r="D2378">
        <v>88</v>
      </c>
      <c r="E2378">
        <v>0</v>
      </c>
      <c r="F2378">
        <v>0</v>
      </c>
      <c r="G2378">
        <v>30.4</v>
      </c>
      <c r="H2378">
        <v>0.30199999999999999</v>
      </c>
      <c r="I2378">
        <v>49</v>
      </c>
      <c r="J2378">
        <v>1</v>
      </c>
      <c r="K2378" t="str">
        <f t="shared" si="74"/>
        <v>Senior</v>
      </c>
      <c r="L2378" t="str">
        <f t="shared" si="75"/>
        <v>Obese</v>
      </c>
    </row>
    <row r="2379" spans="1:12" x14ac:dyDescent="0.2">
      <c r="A2379">
        <v>2378</v>
      </c>
      <c r="B2379">
        <v>1</v>
      </c>
      <c r="C2379">
        <v>125</v>
      </c>
      <c r="D2379">
        <v>50</v>
      </c>
      <c r="E2379">
        <v>40</v>
      </c>
      <c r="F2379">
        <v>167</v>
      </c>
      <c r="G2379">
        <v>33.299999999999997</v>
      </c>
      <c r="H2379">
        <v>0.96199999999999997</v>
      </c>
      <c r="I2379">
        <v>28</v>
      </c>
      <c r="J2379">
        <v>1</v>
      </c>
      <c r="K2379" t="str">
        <f t="shared" si="74"/>
        <v>Young</v>
      </c>
      <c r="L2379" t="str">
        <f t="shared" si="75"/>
        <v>Obese</v>
      </c>
    </row>
    <row r="2380" spans="1:12" x14ac:dyDescent="0.2">
      <c r="A2380">
        <v>2379</v>
      </c>
      <c r="B2380">
        <v>13</v>
      </c>
      <c r="C2380">
        <v>129</v>
      </c>
      <c r="D2380">
        <v>121</v>
      </c>
      <c r="E2380">
        <v>30</v>
      </c>
      <c r="F2380">
        <v>0</v>
      </c>
      <c r="G2380">
        <v>39.9</v>
      </c>
      <c r="H2380">
        <v>0.56899999999999995</v>
      </c>
      <c r="I2380">
        <v>44</v>
      </c>
      <c r="J2380">
        <v>1</v>
      </c>
      <c r="K2380" t="str">
        <f t="shared" si="74"/>
        <v>Middle-Aged</v>
      </c>
      <c r="L2380" t="str">
        <f t="shared" si="75"/>
        <v>Obese</v>
      </c>
    </row>
    <row r="2381" spans="1:12" x14ac:dyDescent="0.2">
      <c r="A2381">
        <v>2380</v>
      </c>
      <c r="B2381">
        <v>12</v>
      </c>
      <c r="C2381">
        <v>88</v>
      </c>
      <c r="D2381">
        <v>74</v>
      </c>
      <c r="E2381">
        <v>40</v>
      </c>
      <c r="F2381">
        <v>54</v>
      </c>
      <c r="G2381">
        <v>35.299999999999997</v>
      </c>
      <c r="H2381">
        <v>0.378</v>
      </c>
      <c r="I2381">
        <v>48</v>
      </c>
      <c r="J2381">
        <v>0</v>
      </c>
      <c r="K2381" t="str">
        <f t="shared" si="74"/>
        <v>Senior</v>
      </c>
      <c r="L2381" t="str">
        <f t="shared" si="75"/>
        <v>Obese</v>
      </c>
    </row>
    <row r="2382" spans="1:12" x14ac:dyDescent="0.2">
      <c r="A2382">
        <v>2381</v>
      </c>
      <c r="B2382">
        <v>1</v>
      </c>
      <c r="C2382">
        <v>196</v>
      </c>
      <c r="D2382">
        <v>76</v>
      </c>
      <c r="E2382">
        <v>36</v>
      </c>
      <c r="F2382">
        <v>249</v>
      </c>
      <c r="G2382">
        <v>36.5</v>
      </c>
      <c r="H2382">
        <v>0.875</v>
      </c>
      <c r="I2382">
        <v>29</v>
      </c>
      <c r="J2382">
        <v>1</v>
      </c>
      <c r="K2382" t="str">
        <f t="shared" si="74"/>
        <v>Young</v>
      </c>
      <c r="L2382" t="str">
        <f t="shared" si="75"/>
        <v>Obese</v>
      </c>
    </row>
    <row r="2383" spans="1:12" x14ac:dyDescent="0.2">
      <c r="A2383">
        <v>2382</v>
      </c>
      <c r="B2383">
        <v>5</v>
      </c>
      <c r="C2383">
        <v>189</v>
      </c>
      <c r="D2383">
        <v>64</v>
      </c>
      <c r="E2383">
        <v>33</v>
      </c>
      <c r="F2383">
        <v>325</v>
      </c>
      <c r="G2383">
        <v>31.2</v>
      </c>
      <c r="H2383">
        <v>0.58299999999999996</v>
      </c>
      <c r="I2383">
        <v>29</v>
      </c>
      <c r="J2383">
        <v>1</v>
      </c>
      <c r="K2383" t="str">
        <f t="shared" si="74"/>
        <v>Young</v>
      </c>
      <c r="L2383" t="str">
        <f t="shared" si="75"/>
        <v>Obese</v>
      </c>
    </row>
    <row r="2384" spans="1:12" x14ac:dyDescent="0.2">
      <c r="A2384">
        <v>2383</v>
      </c>
      <c r="B2384">
        <v>5</v>
      </c>
      <c r="C2384">
        <v>158</v>
      </c>
      <c r="D2384">
        <v>70</v>
      </c>
      <c r="E2384">
        <v>0</v>
      </c>
      <c r="F2384">
        <v>0</v>
      </c>
      <c r="G2384">
        <v>29.8</v>
      </c>
      <c r="H2384">
        <v>0.20699999999999999</v>
      </c>
      <c r="I2384">
        <v>63</v>
      </c>
      <c r="J2384">
        <v>0</v>
      </c>
      <c r="K2384" t="str">
        <f t="shared" si="74"/>
        <v>Senior</v>
      </c>
      <c r="L2384" t="str">
        <f t="shared" si="75"/>
        <v>Overweight</v>
      </c>
    </row>
    <row r="2385" spans="1:12" x14ac:dyDescent="0.2">
      <c r="A2385">
        <v>2384</v>
      </c>
      <c r="B2385">
        <v>5</v>
      </c>
      <c r="C2385">
        <v>103</v>
      </c>
      <c r="D2385">
        <v>108</v>
      </c>
      <c r="E2385">
        <v>37</v>
      </c>
      <c r="F2385">
        <v>0</v>
      </c>
      <c r="G2385">
        <v>39.200000000000003</v>
      </c>
      <c r="H2385">
        <v>0.30499999999999999</v>
      </c>
      <c r="I2385">
        <v>65</v>
      </c>
      <c r="J2385">
        <v>0</v>
      </c>
      <c r="K2385" t="str">
        <f t="shared" si="74"/>
        <v>Senior</v>
      </c>
      <c r="L2385" t="str">
        <f t="shared" si="75"/>
        <v>Obese</v>
      </c>
    </row>
    <row r="2386" spans="1:12" x14ac:dyDescent="0.2">
      <c r="A2386">
        <v>2385</v>
      </c>
      <c r="B2386">
        <v>4</v>
      </c>
      <c r="C2386">
        <v>146</v>
      </c>
      <c r="D2386">
        <v>78</v>
      </c>
      <c r="E2386">
        <v>0</v>
      </c>
      <c r="F2386">
        <v>0</v>
      </c>
      <c r="G2386">
        <v>38.5</v>
      </c>
      <c r="H2386">
        <v>0.52</v>
      </c>
      <c r="I2386">
        <v>67</v>
      </c>
      <c r="J2386">
        <v>1</v>
      </c>
      <c r="K2386" t="str">
        <f t="shared" si="74"/>
        <v>Senior</v>
      </c>
      <c r="L2386" t="str">
        <f t="shared" si="75"/>
        <v>Obese</v>
      </c>
    </row>
    <row r="2387" spans="1:12" x14ac:dyDescent="0.2">
      <c r="A2387">
        <v>2386</v>
      </c>
      <c r="B2387">
        <v>4</v>
      </c>
      <c r="C2387">
        <v>147</v>
      </c>
      <c r="D2387">
        <v>74</v>
      </c>
      <c r="E2387">
        <v>25</v>
      </c>
      <c r="F2387">
        <v>293</v>
      </c>
      <c r="G2387">
        <v>34.9</v>
      </c>
      <c r="H2387">
        <v>0.38500000000000001</v>
      </c>
      <c r="I2387">
        <v>30</v>
      </c>
      <c r="J2387">
        <v>0</v>
      </c>
      <c r="K2387" t="str">
        <f t="shared" si="74"/>
        <v>Middle-Aged</v>
      </c>
      <c r="L2387" t="str">
        <f t="shared" si="75"/>
        <v>Obese</v>
      </c>
    </row>
    <row r="2388" spans="1:12" x14ac:dyDescent="0.2">
      <c r="A2388">
        <v>2387</v>
      </c>
      <c r="B2388">
        <v>5</v>
      </c>
      <c r="C2388">
        <v>99</v>
      </c>
      <c r="D2388">
        <v>54</v>
      </c>
      <c r="E2388">
        <v>28</v>
      </c>
      <c r="F2388">
        <v>83</v>
      </c>
      <c r="G2388">
        <v>34</v>
      </c>
      <c r="H2388">
        <v>0.499</v>
      </c>
      <c r="I2388">
        <v>30</v>
      </c>
      <c r="J2388">
        <v>0</v>
      </c>
      <c r="K2388" t="str">
        <f t="shared" si="74"/>
        <v>Middle-Aged</v>
      </c>
      <c r="L2388" t="str">
        <f t="shared" si="75"/>
        <v>Obese</v>
      </c>
    </row>
    <row r="2389" spans="1:12" x14ac:dyDescent="0.2">
      <c r="A2389">
        <v>2388</v>
      </c>
      <c r="B2389">
        <v>6</v>
      </c>
      <c r="C2389">
        <v>124</v>
      </c>
      <c r="D2389">
        <v>72</v>
      </c>
      <c r="E2389">
        <v>0</v>
      </c>
      <c r="F2389">
        <v>0</v>
      </c>
      <c r="G2389">
        <v>27.6</v>
      </c>
      <c r="H2389">
        <v>0.36799999999999999</v>
      </c>
      <c r="I2389">
        <v>29</v>
      </c>
      <c r="J2389">
        <v>1</v>
      </c>
      <c r="K2389" t="str">
        <f t="shared" si="74"/>
        <v>Young</v>
      </c>
      <c r="L2389" t="str">
        <f t="shared" si="75"/>
        <v>Overweight</v>
      </c>
    </row>
    <row r="2390" spans="1:12" x14ac:dyDescent="0.2">
      <c r="A2390">
        <v>2389</v>
      </c>
      <c r="B2390">
        <v>0</v>
      </c>
      <c r="C2390">
        <v>101</v>
      </c>
      <c r="D2390">
        <v>64</v>
      </c>
      <c r="E2390">
        <v>17</v>
      </c>
      <c r="F2390">
        <v>0</v>
      </c>
      <c r="G2390">
        <v>21</v>
      </c>
      <c r="H2390">
        <v>0.252</v>
      </c>
      <c r="I2390">
        <v>21</v>
      </c>
      <c r="J2390">
        <v>0</v>
      </c>
      <c r="K2390" t="str">
        <f t="shared" si="74"/>
        <v>Young</v>
      </c>
      <c r="L2390" t="str">
        <f t="shared" si="75"/>
        <v>Normal</v>
      </c>
    </row>
    <row r="2391" spans="1:12" x14ac:dyDescent="0.2">
      <c r="A2391">
        <v>2390</v>
      </c>
      <c r="B2391">
        <v>3</v>
      </c>
      <c r="C2391">
        <v>81</v>
      </c>
      <c r="D2391">
        <v>86</v>
      </c>
      <c r="E2391">
        <v>16</v>
      </c>
      <c r="F2391">
        <v>66</v>
      </c>
      <c r="G2391">
        <v>27.5</v>
      </c>
      <c r="H2391">
        <v>0.30599999999999999</v>
      </c>
      <c r="I2391">
        <v>22</v>
      </c>
      <c r="J2391">
        <v>0</v>
      </c>
      <c r="K2391" t="str">
        <f t="shared" si="74"/>
        <v>Young</v>
      </c>
      <c r="L2391" t="str">
        <f t="shared" si="75"/>
        <v>Overweight</v>
      </c>
    </row>
    <row r="2392" spans="1:12" x14ac:dyDescent="0.2">
      <c r="A2392">
        <v>2391</v>
      </c>
      <c r="B2392">
        <v>1</v>
      </c>
      <c r="C2392">
        <v>133</v>
      </c>
      <c r="D2392">
        <v>102</v>
      </c>
      <c r="E2392">
        <v>28</v>
      </c>
      <c r="F2392">
        <v>140</v>
      </c>
      <c r="G2392">
        <v>32.799999999999997</v>
      </c>
      <c r="H2392">
        <v>0.23400000000000001</v>
      </c>
      <c r="I2392">
        <v>45</v>
      </c>
      <c r="J2392">
        <v>1</v>
      </c>
      <c r="K2392" t="str">
        <f t="shared" si="74"/>
        <v>Senior</v>
      </c>
      <c r="L2392" t="str">
        <f t="shared" si="75"/>
        <v>Obese</v>
      </c>
    </row>
    <row r="2393" spans="1:12" x14ac:dyDescent="0.2">
      <c r="A2393">
        <v>2392</v>
      </c>
      <c r="B2393">
        <v>3</v>
      </c>
      <c r="C2393">
        <v>173</v>
      </c>
      <c r="D2393">
        <v>82</v>
      </c>
      <c r="E2393">
        <v>48</v>
      </c>
      <c r="F2393">
        <v>465</v>
      </c>
      <c r="G2393">
        <v>38.4</v>
      </c>
      <c r="H2393">
        <v>2.137</v>
      </c>
      <c r="I2393">
        <v>25</v>
      </c>
      <c r="J2393">
        <v>1</v>
      </c>
      <c r="K2393" t="str">
        <f t="shared" si="74"/>
        <v>Young</v>
      </c>
      <c r="L2393" t="str">
        <f t="shared" si="75"/>
        <v>Obese</v>
      </c>
    </row>
    <row r="2394" spans="1:12" x14ac:dyDescent="0.2">
      <c r="A2394">
        <v>2393</v>
      </c>
      <c r="B2394">
        <v>0</v>
      </c>
      <c r="C2394">
        <v>118</v>
      </c>
      <c r="D2394">
        <v>64</v>
      </c>
      <c r="E2394">
        <v>23</v>
      </c>
      <c r="F2394">
        <v>89</v>
      </c>
      <c r="G2394">
        <v>121</v>
      </c>
      <c r="H2394">
        <v>1.7310000000000001</v>
      </c>
      <c r="I2394">
        <v>21</v>
      </c>
      <c r="J2394">
        <v>0</v>
      </c>
      <c r="K2394" t="str">
        <f t="shared" si="74"/>
        <v>Young</v>
      </c>
      <c r="L2394" t="str">
        <f t="shared" si="75"/>
        <v>Obese</v>
      </c>
    </row>
    <row r="2395" spans="1:12" x14ac:dyDescent="0.2">
      <c r="A2395">
        <v>2394</v>
      </c>
      <c r="B2395">
        <v>0</v>
      </c>
      <c r="C2395">
        <v>84</v>
      </c>
      <c r="D2395">
        <v>64</v>
      </c>
      <c r="E2395">
        <v>22</v>
      </c>
      <c r="F2395">
        <v>66</v>
      </c>
      <c r="G2395">
        <v>35.799999999999997</v>
      </c>
      <c r="H2395">
        <v>0.54500000000000004</v>
      </c>
      <c r="I2395">
        <v>21</v>
      </c>
      <c r="J2395">
        <v>0</v>
      </c>
      <c r="K2395" t="str">
        <f t="shared" si="74"/>
        <v>Young</v>
      </c>
      <c r="L2395" t="str">
        <f t="shared" si="75"/>
        <v>Obese</v>
      </c>
    </row>
    <row r="2396" spans="1:12" x14ac:dyDescent="0.2">
      <c r="A2396">
        <v>2395</v>
      </c>
      <c r="B2396">
        <v>2</v>
      </c>
      <c r="C2396">
        <v>105</v>
      </c>
      <c r="D2396">
        <v>58</v>
      </c>
      <c r="E2396">
        <v>40</v>
      </c>
      <c r="F2396">
        <v>94</v>
      </c>
      <c r="G2396">
        <v>34.9</v>
      </c>
      <c r="H2396">
        <v>0.22500000000000001</v>
      </c>
      <c r="I2396">
        <v>25</v>
      </c>
      <c r="J2396">
        <v>0</v>
      </c>
      <c r="K2396" t="str">
        <f t="shared" si="74"/>
        <v>Young</v>
      </c>
      <c r="L2396" t="str">
        <f t="shared" si="75"/>
        <v>Obese</v>
      </c>
    </row>
    <row r="2397" spans="1:12" x14ac:dyDescent="0.2">
      <c r="A2397">
        <v>2396</v>
      </c>
      <c r="B2397">
        <v>2</v>
      </c>
      <c r="C2397">
        <v>122</v>
      </c>
      <c r="D2397">
        <v>52</v>
      </c>
      <c r="E2397">
        <v>43</v>
      </c>
      <c r="F2397">
        <v>158</v>
      </c>
      <c r="G2397">
        <v>36.200000000000003</v>
      </c>
      <c r="H2397">
        <v>0.81599999999999995</v>
      </c>
      <c r="I2397">
        <v>28</v>
      </c>
      <c r="J2397">
        <v>0</v>
      </c>
      <c r="K2397" t="str">
        <f t="shared" si="74"/>
        <v>Young</v>
      </c>
      <c r="L2397" t="str">
        <f t="shared" si="75"/>
        <v>Obese</v>
      </c>
    </row>
    <row r="2398" spans="1:12" x14ac:dyDescent="0.2">
      <c r="A2398">
        <v>2397</v>
      </c>
      <c r="B2398">
        <v>12</v>
      </c>
      <c r="C2398">
        <v>140</v>
      </c>
      <c r="D2398">
        <v>82</v>
      </c>
      <c r="E2398">
        <v>43</v>
      </c>
      <c r="F2398">
        <v>325</v>
      </c>
      <c r="G2398">
        <v>39.200000000000003</v>
      </c>
      <c r="H2398">
        <v>0.52800000000000002</v>
      </c>
      <c r="I2398">
        <v>58</v>
      </c>
      <c r="J2398">
        <v>1</v>
      </c>
      <c r="K2398" t="str">
        <f t="shared" si="74"/>
        <v>Senior</v>
      </c>
      <c r="L2398" t="str">
        <f t="shared" si="75"/>
        <v>Obese</v>
      </c>
    </row>
    <row r="2399" spans="1:12" x14ac:dyDescent="0.2">
      <c r="A2399">
        <v>2398</v>
      </c>
      <c r="B2399">
        <v>0</v>
      </c>
      <c r="C2399">
        <v>98</v>
      </c>
      <c r="D2399">
        <v>82</v>
      </c>
      <c r="E2399">
        <v>15</v>
      </c>
      <c r="F2399">
        <v>84</v>
      </c>
      <c r="G2399">
        <v>25.2</v>
      </c>
      <c r="H2399">
        <v>0.29899999999999999</v>
      </c>
      <c r="I2399">
        <v>22</v>
      </c>
      <c r="J2399">
        <v>0</v>
      </c>
      <c r="K2399" t="str">
        <f t="shared" si="74"/>
        <v>Young</v>
      </c>
      <c r="L2399" t="str">
        <f t="shared" si="75"/>
        <v>Overweight</v>
      </c>
    </row>
    <row r="2400" spans="1:12" x14ac:dyDescent="0.2">
      <c r="A2400">
        <v>2399</v>
      </c>
      <c r="B2400">
        <v>1</v>
      </c>
      <c r="C2400">
        <v>87</v>
      </c>
      <c r="D2400">
        <v>60</v>
      </c>
      <c r="E2400">
        <v>37</v>
      </c>
      <c r="F2400">
        <v>75</v>
      </c>
      <c r="G2400">
        <v>37.200000000000003</v>
      </c>
      <c r="H2400">
        <v>0.50900000000000001</v>
      </c>
      <c r="I2400">
        <v>22</v>
      </c>
      <c r="J2400">
        <v>0</v>
      </c>
      <c r="K2400" t="str">
        <f t="shared" si="74"/>
        <v>Young</v>
      </c>
      <c r="L2400" t="str">
        <f t="shared" si="75"/>
        <v>Obese</v>
      </c>
    </row>
    <row r="2401" spans="1:12" x14ac:dyDescent="0.2">
      <c r="A2401">
        <v>2400</v>
      </c>
      <c r="B2401">
        <v>4</v>
      </c>
      <c r="C2401">
        <v>156</v>
      </c>
      <c r="D2401">
        <v>75</v>
      </c>
      <c r="E2401">
        <v>0</v>
      </c>
      <c r="F2401">
        <v>0</v>
      </c>
      <c r="G2401">
        <v>48.3</v>
      </c>
      <c r="H2401">
        <v>0.23799999999999999</v>
      </c>
      <c r="I2401">
        <v>32</v>
      </c>
      <c r="J2401">
        <v>1</v>
      </c>
      <c r="K2401" t="str">
        <f t="shared" si="74"/>
        <v>Middle-Aged</v>
      </c>
      <c r="L2401" t="str">
        <f t="shared" si="75"/>
        <v>Obese</v>
      </c>
    </row>
    <row r="2402" spans="1:12" x14ac:dyDescent="0.2">
      <c r="A2402">
        <v>2401</v>
      </c>
      <c r="B2402">
        <v>0</v>
      </c>
      <c r="C2402">
        <v>93</v>
      </c>
      <c r="D2402">
        <v>100</v>
      </c>
      <c r="E2402">
        <v>39</v>
      </c>
      <c r="F2402">
        <v>72</v>
      </c>
      <c r="G2402">
        <v>43.4</v>
      </c>
      <c r="H2402">
        <v>1.0209999999999999</v>
      </c>
      <c r="I2402">
        <v>35</v>
      </c>
      <c r="J2402">
        <v>0</v>
      </c>
      <c r="K2402" t="str">
        <f t="shared" si="74"/>
        <v>Middle-Aged</v>
      </c>
      <c r="L2402" t="str">
        <f t="shared" si="75"/>
        <v>Obese</v>
      </c>
    </row>
    <row r="2403" spans="1:12" x14ac:dyDescent="0.2">
      <c r="A2403">
        <v>2402</v>
      </c>
      <c r="B2403">
        <v>1</v>
      </c>
      <c r="C2403">
        <v>107</v>
      </c>
      <c r="D2403">
        <v>72</v>
      </c>
      <c r="E2403">
        <v>30</v>
      </c>
      <c r="F2403">
        <v>82</v>
      </c>
      <c r="G2403">
        <v>30.8</v>
      </c>
      <c r="H2403">
        <v>0.82099999999999995</v>
      </c>
      <c r="I2403">
        <v>24</v>
      </c>
      <c r="J2403">
        <v>0</v>
      </c>
      <c r="K2403" t="str">
        <f t="shared" si="74"/>
        <v>Young</v>
      </c>
      <c r="L2403" t="str">
        <f t="shared" si="75"/>
        <v>Obese</v>
      </c>
    </row>
    <row r="2404" spans="1:12" x14ac:dyDescent="0.2">
      <c r="A2404">
        <v>2403</v>
      </c>
      <c r="B2404">
        <v>0</v>
      </c>
      <c r="C2404">
        <v>105</v>
      </c>
      <c r="D2404">
        <v>68</v>
      </c>
      <c r="E2404">
        <v>22</v>
      </c>
      <c r="F2404">
        <v>0</v>
      </c>
      <c r="G2404">
        <v>20</v>
      </c>
      <c r="H2404">
        <v>0.23599999999999999</v>
      </c>
      <c r="I2404">
        <v>22</v>
      </c>
      <c r="J2404">
        <v>0</v>
      </c>
      <c r="K2404" t="str">
        <f t="shared" si="74"/>
        <v>Young</v>
      </c>
      <c r="L2404" t="str">
        <f t="shared" si="75"/>
        <v>Normal</v>
      </c>
    </row>
    <row r="2405" spans="1:12" x14ac:dyDescent="0.2">
      <c r="A2405">
        <v>2404</v>
      </c>
      <c r="B2405">
        <v>1</v>
      </c>
      <c r="C2405">
        <v>109</v>
      </c>
      <c r="D2405">
        <v>60</v>
      </c>
      <c r="E2405">
        <v>8</v>
      </c>
      <c r="F2405">
        <v>182</v>
      </c>
      <c r="G2405">
        <v>25.4</v>
      </c>
      <c r="H2405">
        <v>0.94699999999999995</v>
      </c>
      <c r="I2405">
        <v>21</v>
      </c>
      <c r="J2405">
        <v>0</v>
      </c>
      <c r="K2405" t="str">
        <f t="shared" si="74"/>
        <v>Young</v>
      </c>
      <c r="L2405" t="str">
        <f t="shared" si="75"/>
        <v>Overweight</v>
      </c>
    </row>
    <row r="2406" spans="1:12" x14ac:dyDescent="0.2">
      <c r="A2406">
        <v>2405</v>
      </c>
      <c r="B2406">
        <v>1</v>
      </c>
      <c r="C2406">
        <v>90</v>
      </c>
      <c r="D2406">
        <v>62</v>
      </c>
      <c r="E2406">
        <v>18</v>
      </c>
      <c r="F2406">
        <v>59</v>
      </c>
      <c r="G2406">
        <v>25.1</v>
      </c>
      <c r="H2406">
        <v>1.268</v>
      </c>
      <c r="I2406">
        <v>25</v>
      </c>
      <c r="J2406">
        <v>0</v>
      </c>
      <c r="K2406" t="str">
        <f t="shared" si="74"/>
        <v>Young</v>
      </c>
      <c r="L2406" t="str">
        <f t="shared" si="75"/>
        <v>Overweight</v>
      </c>
    </row>
    <row r="2407" spans="1:12" x14ac:dyDescent="0.2">
      <c r="A2407">
        <v>2406</v>
      </c>
      <c r="B2407">
        <v>1</v>
      </c>
      <c r="C2407">
        <v>125</v>
      </c>
      <c r="D2407">
        <v>70</v>
      </c>
      <c r="E2407">
        <v>24</v>
      </c>
      <c r="F2407">
        <v>110</v>
      </c>
      <c r="G2407">
        <v>24.3</v>
      </c>
      <c r="H2407">
        <v>0.221</v>
      </c>
      <c r="I2407">
        <v>25</v>
      </c>
      <c r="J2407">
        <v>0</v>
      </c>
      <c r="K2407" t="str">
        <f t="shared" si="74"/>
        <v>Young</v>
      </c>
      <c r="L2407" t="str">
        <f t="shared" si="75"/>
        <v>Normal</v>
      </c>
    </row>
    <row r="2408" spans="1:12" x14ac:dyDescent="0.2">
      <c r="A2408">
        <v>2407</v>
      </c>
      <c r="B2408">
        <v>1</v>
      </c>
      <c r="C2408">
        <v>119</v>
      </c>
      <c r="D2408">
        <v>54</v>
      </c>
      <c r="E2408">
        <v>13</v>
      </c>
      <c r="F2408">
        <v>50</v>
      </c>
      <c r="G2408">
        <v>22.3</v>
      </c>
      <c r="H2408">
        <v>0.20499999999999999</v>
      </c>
      <c r="I2408">
        <v>24</v>
      </c>
      <c r="J2408">
        <v>0</v>
      </c>
      <c r="K2408" t="str">
        <f t="shared" si="74"/>
        <v>Young</v>
      </c>
      <c r="L2408" t="str">
        <f t="shared" si="75"/>
        <v>Normal</v>
      </c>
    </row>
    <row r="2409" spans="1:12" x14ac:dyDescent="0.2">
      <c r="A2409">
        <v>2408</v>
      </c>
      <c r="B2409">
        <v>5</v>
      </c>
      <c r="C2409">
        <v>116</v>
      </c>
      <c r="D2409">
        <v>74</v>
      </c>
      <c r="E2409">
        <v>29</v>
      </c>
      <c r="F2409">
        <v>0</v>
      </c>
      <c r="G2409">
        <v>32.299999999999997</v>
      </c>
      <c r="H2409">
        <v>0.66</v>
      </c>
      <c r="I2409">
        <v>35</v>
      </c>
      <c r="J2409">
        <v>1</v>
      </c>
      <c r="K2409" t="str">
        <f t="shared" si="74"/>
        <v>Middle-Aged</v>
      </c>
      <c r="L2409" t="str">
        <f t="shared" si="75"/>
        <v>Obese</v>
      </c>
    </row>
    <row r="2410" spans="1:12" x14ac:dyDescent="0.2">
      <c r="A2410">
        <v>2409</v>
      </c>
      <c r="B2410">
        <v>8</v>
      </c>
      <c r="C2410">
        <v>105</v>
      </c>
      <c r="D2410">
        <v>100</v>
      </c>
      <c r="E2410">
        <v>36</v>
      </c>
      <c r="F2410">
        <v>0</v>
      </c>
      <c r="G2410">
        <v>43.3</v>
      </c>
      <c r="H2410">
        <v>0.23899999999999999</v>
      </c>
      <c r="I2410">
        <v>45</v>
      </c>
      <c r="J2410">
        <v>1</v>
      </c>
      <c r="K2410" t="str">
        <f t="shared" si="74"/>
        <v>Senior</v>
      </c>
      <c r="L2410" t="str">
        <f t="shared" si="75"/>
        <v>Obese</v>
      </c>
    </row>
    <row r="2411" spans="1:12" x14ac:dyDescent="0.2">
      <c r="A2411">
        <v>2410</v>
      </c>
      <c r="B2411">
        <v>5</v>
      </c>
      <c r="C2411">
        <v>144</v>
      </c>
      <c r="D2411">
        <v>82</v>
      </c>
      <c r="E2411">
        <v>26</v>
      </c>
      <c r="F2411">
        <v>285</v>
      </c>
      <c r="G2411">
        <v>32</v>
      </c>
      <c r="H2411">
        <v>0.45200000000000001</v>
      </c>
      <c r="I2411">
        <v>58</v>
      </c>
      <c r="J2411">
        <v>1</v>
      </c>
      <c r="K2411" t="str">
        <f t="shared" si="74"/>
        <v>Senior</v>
      </c>
      <c r="L2411" t="str">
        <f t="shared" si="75"/>
        <v>Obese</v>
      </c>
    </row>
    <row r="2412" spans="1:12" x14ac:dyDescent="0.2">
      <c r="A2412">
        <v>2411</v>
      </c>
      <c r="B2412">
        <v>3</v>
      </c>
      <c r="C2412">
        <v>100</v>
      </c>
      <c r="D2412">
        <v>68</v>
      </c>
      <c r="E2412">
        <v>23</v>
      </c>
      <c r="F2412">
        <v>81</v>
      </c>
      <c r="G2412">
        <v>31.6</v>
      </c>
      <c r="H2412">
        <v>0.94899999999999995</v>
      </c>
      <c r="I2412">
        <v>28</v>
      </c>
      <c r="J2412">
        <v>0</v>
      </c>
      <c r="K2412" t="str">
        <f t="shared" si="74"/>
        <v>Young</v>
      </c>
      <c r="L2412" t="str">
        <f t="shared" si="75"/>
        <v>Obese</v>
      </c>
    </row>
    <row r="2413" spans="1:12" x14ac:dyDescent="0.2">
      <c r="A2413">
        <v>2412</v>
      </c>
      <c r="B2413">
        <v>1</v>
      </c>
      <c r="C2413">
        <v>100</v>
      </c>
      <c r="D2413">
        <v>66</v>
      </c>
      <c r="E2413">
        <v>29</v>
      </c>
      <c r="F2413">
        <v>196</v>
      </c>
      <c r="G2413">
        <v>32</v>
      </c>
      <c r="H2413">
        <v>0.44400000000000001</v>
      </c>
      <c r="I2413">
        <v>42</v>
      </c>
      <c r="J2413">
        <v>0</v>
      </c>
      <c r="K2413" t="str">
        <f t="shared" si="74"/>
        <v>Middle-Aged</v>
      </c>
      <c r="L2413" t="str">
        <f t="shared" si="75"/>
        <v>Obese</v>
      </c>
    </row>
    <row r="2414" spans="1:12" x14ac:dyDescent="0.2">
      <c r="A2414">
        <v>2413</v>
      </c>
      <c r="B2414">
        <v>5</v>
      </c>
      <c r="C2414">
        <v>166</v>
      </c>
      <c r="D2414">
        <v>76</v>
      </c>
      <c r="E2414">
        <v>0</v>
      </c>
      <c r="F2414">
        <v>0</v>
      </c>
      <c r="G2414">
        <v>45.7</v>
      </c>
      <c r="H2414">
        <v>0.34</v>
      </c>
      <c r="I2414">
        <v>27</v>
      </c>
      <c r="J2414">
        <v>1</v>
      </c>
      <c r="K2414" t="str">
        <f t="shared" si="74"/>
        <v>Young</v>
      </c>
      <c r="L2414" t="str">
        <f t="shared" si="75"/>
        <v>Obese</v>
      </c>
    </row>
    <row r="2415" spans="1:12" x14ac:dyDescent="0.2">
      <c r="A2415">
        <v>2414</v>
      </c>
      <c r="B2415">
        <v>1</v>
      </c>
      <c r="C2415">
        <v>131</v>
      </c>
      <c r="D2415">
        <v>64</v>
      </c>
      <c r="E2415">
        <v>14</v>
      </c>
      <c r="F2415">
        <v>415</v>
      </c>
      <c r="G2415">
        <v>23.7</v>
      </c>
      <c r="H2415">
        <v>0.38900000000000001</v>
      </c>
      <c r="I2415">
        <v>21</v>
      </c>
      <c r="J2415">
        <v>0</v>
      </c>
      <c r="K2415" t="str">
        <f t="shared" si="74"/>
        <v>Young</v>
      </c>
      <c r="L2415" t="str">
        <f t="shared" si="75"/>
        <v>Normal</v>
      </c>
    </row>
    <row r="2416" spans="1:12" x14ac:dyDescent="0.2">
      <c r="A2416">
        <v>2415</v>
      </c>
      <c r="B2416">
        <v>4</v>
      </c>
      <c r="C2416">
        <v>116</v>
      </c>
      <c r="D2416">
        <v>72</v>
      </c>
      <c r="E2416">
        <v>12</v>
      </c>
      <c r="F2416">
        <v>87</v>
      </c>
      <c r="G2416">
        <v>22.1</v>
      </c>
      <c r="H2416">
        <v>0.46300000000000002</v>
      </c>
      <c r="I2416">
        <v>37</v>
      </c>
      <c r="J2416">
        <v>0</v>
      </c>
      <c r="K2416" t="str">
        <f t="shared" si="74"/>
        <v>Middle-Aged</v>
      </c>
      <c r="L2416" t="str">
        <f t="shared" si="75"/>
        <v>Normal</v>
      </c>
    </row>
    <row r="2417" spans="1:12" x14ac:dyDescent="0.2">
      <c r="A2417">
        <v>2416</v>
      </c>
      <c r="B2417">
        <v>4</v>
      </c>
      <c r="C2417">
        <v>158</v>
      </c>
      <c r="D2417">
        <v>78</v>
      </c>
      <c r="E2417">
        <v>0</v>
      </c>
      <c r="F2417">
        <v>0</v>
      </c>
      <c r="G2417">
        <v>32.9</v>
      </c>
      <c r="H2417">
        <v>0.80300000000000005</v>
      </c>
      <c r="I2417">
        <v>31</v>
      </c>
      <c r="J2417">
        <v>1</v>
      </c>
      <c r="K2417" t="str">
        <f t="shared" si="74"/>
        <v>Middle-Aged</v>
      </c>
      <c r="L2417" t="str">
        <f t="shared" si="75"/>
        <v>Obese</v>
      </c>
    </row>
    <row r="2418" spans="1:12" x14ac:dyDescent="0.2">
      <c r="A2418">
        <v>2417</v>
      </c>
      <c r="B2418">
        <v>2</v>
      </c>
      <c r="C2418">
        <v>127</v>
      </c>
      <c r="D2418">
        <v>58</v>
      </c>
      <c r="E2418">
        <v>24</v>
      </c>
      <c r="F2418">
        <v>275</v>
      </c>
      <c r="G2418">
        <v>27.7</v>
      </c>
      <c r="H2418">
        <v>1.6</v>
      </c>
      <c r="I2418">
        <v>25</v>
      </c>
      <c r="J2418">
        <v>0</v>
      </c>
      <c r="K2418" t="str">
        <f t="shared" si="74"/>
        <v>Young</v>
      </c>
      <c r="L2418" t="str">
        <f t="shared" si="75"/>
        <v>Overweight</v>
      </c>
    </row>
    <row r="2419" spans="1:12" x14ac:dyDescent="0.2">
      <c r="A2419">
        <v>2418</v>
      </c>
      <c r="B2419">
        <v>3</v>
      </c>
      <c r="C2419">
        <v>96</v>
      </c>
      <c r="D2419">
        <v>56</v>
      </c>
      <c r="E2419">
        <v>34</v>
      </c>
      <c r="F2419">
        <v>115</v>
      </c>
      <c r="G2419">
        <v>24.7</v>
      </c>
      <c r="H2419">
        <v>0.94399999999999995</v>
      </c>
      <c r="I2419">
        <v>39</v>
      </c>
      <c r="J2419">
        <v>0</v>
      </c>
      <c r="K2419" t="str">
        <f t="shared" si="74"/>
        <v>Middle-Aged</v>
      </c>
      <c r="L2419" t="str">
        <f t="shared" si="75"/>
        <v>Normal</v>
      </c>
    </row>
    <row r="2420" spans="1:12" x14ac:dyDescent="0.2">
      <c r="A2420">
        <v>2419</v>
      </c>
      <c r="B2420">
        <v>0</v>
      </c>
      <c r="C2420">
        <v>131</v>
      </c>
      <c r="D2420">
        <v>66</v>
      </c>
      <c r="E2420">
        <v>40</v>
      </c>
      <c r="F2420">
        <v>0</v>
      </c>
      <c r="G2420">
        <v>34.299999999999997</v>
      </c>
      <c r="H2420">
        <v>0.19600000000000001</v>
      </c>
      <c r="I2420">
        <v>22</v>
      </c>
      <c r="J2420">
        <v>1</v>
      </c>
      <c r="K2420" t="str">
        <f t="shared" si="74"/>
        <v>Young</v>
      </c>
      <c r="L2420" t="str">
        <f t="shared" si="75"/>
        <v>Obese</v>
      </c>
    </row>
    <row r="2421" spans="1:12" x14ac:dyDescent="0.2">
      <c r="A2421">
        <v>2420</v>
      </c>
      <c r="B2421">
        <v>3</v>
      </c>
      <c r="C2421">
        <v>82</v>
      </c>
      <c r="D2421">
        <v>70</v>
      </c>
      <c r="E2421">
        <v>0</v>
      </c>
      <c r="F2421">
        <v>0</v>
      </c>
      <c r="G2421">
        <v>21.1</v>
      </c>
      <c r="H2421">
        <v>0.38900000000000001</v>
      </c>
      <c r="I2421">
        <v>25</v>
      </c>
      <c r="J2421">
        <v>0</v>
      </c>
      <c r="K2421" t="str">
        <f t="shared" si="74"/>
        <v>Young</v>
      </c>
      <c r="L2421" t="str">
        <f t="shared" si="75"/>
        <v>Normal</v>
      </c>
    </row>
    <row r="2422" spans="1:12" x14ac:dyDescent="0.2">
      <c r="A2422">
        <v>2421</v>
      </c>
      <c r="B2422">
        <v>3</v>
      </c>
      <c r="C2422">
        <v>193</v>
      </c>
      <c r="D2422">
        <v>70</v>
      </c>
      <c r="E2422">
        <v>31</v>
      </c>
      <c r="F2422">
        <v>0</v>
      </c>
      <c r="G2422">
        <v>34.9</v>
      </c>
      <c r="H2422">
        <v>0.24099999999999999</v>
      </c>
      <c r="I2422">
        <v>25</v>
      </c>
      <c r="J2422">
        <v>1</v>
      </c>
      <c r="K2422" t="str">
        <f t="shared" si="74"/>
        <v>Young</v>
      </c>
      <c r="L2422" t="str">
        <f t="shared" si="75"/>
        <v>Obese</v>
      </c>
    </row>
    <row r="2423" spans="1:12" x14ac:dyDescent="0.2">
      <c r="A2423">
        <v>2422</v>
      </c>
      <c r="B2423">
        <v>4</v>
      </c>
      <c r="C2423">
        <v>95</v>
      </c>
      <c r="D2423">
        <v>64</v>
      </c>
      <c r="E2423">
        <v>0</v>
      </c>
      <c r="F2423">
        <v>0</v>
      </c>
      <c r="G2423">
        <v>32</v>
      </c>
      <c r="H2423">
        <v>0.161</v>
      </c>
      <c r="I2423">
        <v>31</v>
      </c>
      <c r="J2423">
        <v>1</v>
      </c>
      <c r="K2423" t="str">
        <f t="shared" si="74"/>
        <v>Middle-Aged</v>
      </c>
      <c r="L2423" t="str">
        <f t="shared" si="75"/>
        <v>Obese</v>
      </c>
    </row>
    <row r="2424" spans="1:12" x14ac:dyDescent="0.2">
      <c r="A2424">
        <v>2423</v>
      </c>
      <c r="B2424">
        <v>6</v>
      </c>
      <c r="C2424">
        <v>137</v>
      </c>
      <c r="D2424">
        <v>61</v>
      </c>
      <c r="E2424">
        <v>0</v>
      </c>
      <c r="F2424">
        <v>0</v>
      </c>
      <c r="G2424">
        <v>24.2</v>
      </c>
      <c r="H2424">
        <v>0.151</v>
      </c>
      <c r="I2424">
        <v>55</v>
      </c>
      <c r="J2424">
        <v>0</v>
      </c>
      <c r="K2424" t="str">
        <f t="shared" si="74"/>
        <v>Senior</v>
      </c>
      <c r="L2424" t="str">
        <f t="shared" si="75"/>
        <v>Normal</v>
      </c>
    </row>
    <row r="2425" spans="1:12" x14ac:dyDescent="0.2">
      <c r="A2425">
        <v>2424</v>
      </c>
      <c r="B2425">
        <v>5</v>
      </c>
      <c r="C2425">
        <v>136</v>
      </c>
      <c r="D2425">
        <v>84</v>
      </c>
      <c r="E2425">
        <v>41</v>
      </c>
      <c r="F2425">
        <v>88</v>
      </c>
      <c r="G2425">
        <v>35</v>
      </c>
      <c r="H2425">
        <v>0.28599999999999998</v>
      </c>
      <c r="I2425">
        <v>35</v>
      </c>
      <c r="J2425">
        <v>1</v>
      </c>
      <c r="K2425" t="str">
        <f t="shared" si="74"/>
        <v>Middle-Aged</v>
      </c>
      <c r="L2425" t="str">
        <f t="shared" si="75"/>
        <v>Obese</v>
      </c>
    </row>
    <row r="2426" spans="1:12" x14ac:dyDescent="0.2">
      <c r="A2426">
        <v>2425</v>
      </c>
      <c r="B2426">
        <v>9</v>
      </c>
      <c r="C2426">
        <v>72</v>
      </c>
      <c r="D2426">
        <v>78</v>
      </c>
      <c r="E2426">
        <v>25</v>
      </c>
      <c r="F2426">
        <v>0</v>
      </c>
      <c r="G2426">
        <v>31.6</v>
      </c>
      <c r="H2426">
        <v>0.28000000000000003</v>
      </c>
      <c r="I2426">
        <v>38</v>
      </c>
      <c r="J2426">
        <v>0</v>
      </c>
      <c r="K2426" t="str">
        <f t="shared" si="74"/>
        <v>Middle-Aged</v>
      </c>
      <c r="L2426" t="str">
        <f t="shared" si="75"/>
        <v>Obese</v>
      </c>
    </row>
    <row r="2427" spans="1:12" x14ac:dyDescent="0.2">
      <c r="A2427">
        <v>2426</v>
      </c>
      <c r="B2427">
        <v>5</v>
      </c>
      <c r="C2427">
        <v>168</v>
      </c>
      <c r="D2427">
        <v>64</v>
      </c>
      <c r="E2427">
        <v>0</v>
      </c>
      <c r="F2427">
        <v>0</v>
      </c>
      <c r="G2427">
        <v>32.9</v>
      </c>
      <c r="H2427">
        <v>0.13500000000000001</v>
      </c>
      <c r="I2427">
        <v>41</v>
      </c>
      <c r="J2427">
        <v>1</v>
      </c>
      <c r="K2427" t="str">
        <f t="shared" si="74"/>
        <v>Middle-Aged</v>
      </c>
      <c r="L2427" t="str">
        <f t="shared" si="75"/>
        <v>Obese</v>
      </c>
    </row>
    <row r="2428" spans="1:12" x14ac:dyDescent="0.2">
      <c r="A2428">
        <v>2427</v>
      </c>
      <c r="B2428">
        <v>2</v>
      </c>
      <c r="C2428">
        <v>123</v>
      </c>
      <c r="D2428">
        <v>48</v>
      </c>
      <c r="E2428">
        <v>32</v>
      </c>
      <c r="F2428">
        <v>165</v>
      </c>
      <c r="G2428">
        <v>42.1</v>
      </c>
      <c r="H2428">
        <v>0.52</v>
      </c>
      <c r="I2428">
        <v>26</v>
      </c>
      <c r="J2428">
        <v>0</v>
      </c>
      <c r="K2428" t="str">
        <f t="shared" si="74"/>
        <v>Young</v>
      </c>
      <c r="L2428" t="str">
        <f t="shared" si="75"/>
        <v>Obese</v>
      </c>
    </row>
    <row r="2429" spans="1:12" x14ac:dyDescent="0.2">
      <c r="A2429">
        <v>2428</v>
      </c>
      <c r="B2429">
        <v>4</v>
      </c>
      <c r="C2429">
        <v>115</v>
      </c>
      <c r="D2429">
        <v>72</v>
      </c>
      <c r="E2429">
        <v>0</v>
      </c>
      <c r="F2429">
        <v>0</v>
      </c>
      <c r="G2429">
        <v>28.9</v>
      </c>
      <c r="H2429">
        <v>0.376</v>
      </c>
      <c r="I2429">
        <v>46</v>
      </c>
      <c r="J2429">
        <v>1</v>
      </c>
      <c r="K2429" t="str">
        <f t="shared" si="74"/>
        <v>Senior</v>
      </c>
      <c r="L2429" t="str">
        <f t="shared" si="75"/>
        <v>Overweight</v>
      </c>
    </row>
    <row r="2430" spans="1:12" x14ac:dyDescent="0.2">
      <c r="A2430">
        <v>2429</v>
      </c>
      <c r="B2430">
        <v>0</v>
      </c>
      <c r="C2430">
        <v>101</v>
      </c>
      <c r="D2430">
        <v>62</v>
      </c>
      <c r="E2430">
        <v>0</v>
      </c>
      <c r="F2430">
        <v>0</v>
      </c>
      <c r="G2430">
        <v>21.9</v>
      </c>
      <c r="H2430">
        <v>0.33600000000000002</v>
      </c>
      <c r="I2430">
        <v>25</v>
      </c>
      <c r="J2430">
        <v>0</v>
      </c>
      <c r="K2430" t="str">
        <f t="shared" si="74"/>
        <v>Young</v>
      </c>
      <c r="L2430" t="str">
        <f t="shared" si="75"/>
        <v>Normal</v>
      </c>
    </row>
    <row r="2431" spans="1:12" x14ac:dyDescent="0.2">
      <c r="A2431">
        <v>2430</v>
      </c>
      <c r="B2431">
        <v>8</v>
      </c>
      <c r="C2431">
        <v>197</v>
      </c>
      <c r="D2431">
        <v>74</v>
      </c>
      <c r="E2431">
        <v>0</v>
      </c>
      <c r="F2431">
        <v>0</v>
      </c>
      <c r="G2431">
        <v>25.9</v>
      </c>
      <c r="H2431">
        <v>1.1910000000000001</v>
      </c>
      <c r="I2431">
        <v>39</v>
      </c>
      <c r="J2431">
        <v>1</v>
      </c>
      <c r="K2431" t="str">
        <f t="shared" si="74"/>
        <v>Middle-Aged</v>
      </c>
      <c r="L2431" t="str">
        <f t="shared" si="75"/>
        <v>Overweight</v>
      </c>
    </row>
    <row r="2432" spans="1:12" x14ac:dyDescent="0.2">
      <c r="A2432">
        <v>2431</v>
      </c>
      <c r="B2432">
        <v>1</v>
      </c>
      <c r="C2432">
        <v>172</v>
      </c>
      <c r="D2432">
        <v>68</v>
      </c>
      <c r="E2432">
        <v>49</v>
      </c>
      <c r="F2432">
        <v>579</v>
      </c>
      <c r="G2432">
        <v>42.4</v>
      </c>
      <c r="H2432">
        <v>0.70199999999999996</v>
      </c>
      <c r="I2432">
        <v>28</v>
      </c>
      <c r="J2432">
        <v>1</v>
      </c>
      <c r="K2432" t="str">
        <f t="shared" si="74"/>
        <v>Young</v>
      </c>
      <c r="L2432" t="str">
        <f t="shared" si="75"/>
        <v>Obese</v>
      </c>
    </row>
    <row r="2433" spans="1:12" x14ac:dyDescent="0.2">
      <c r="A2433">
        <v>2432</v>
      </c>
      <c r="B2433">
        <v>6</v>
      </c>
      <c r="C2433">
        <v>102</v>
      </c>
      <c r="D2433">
        <v>90</v>
      </c>
      <c r="E2433">
        <v>39</v>
      </c>
      <c r="F2433">
        <v>0</v>
      </c>
      <c r="G2433">
        <v>35.700000000000003</v>
      </c>
      <c r="H2433">
        <v>0.67400000000000004</v>
      </c>
      <c r="I2433">
        <v>28</v>
      </c>
      <c r="J2433">
        <v>0</v>
      </c>
      <c r="K2433" t="str">
        <f t="shared" si="74"/>
        <v>Young</v>
      </c>
      <c r="L2433" t="str">
        <f t="shared" si="75"/>
        <v>Obese</v>
      </c>
    </row>
    <row r="2434" spans="1:12" x14ac:dyDescent="0.2">
      <c r="A2434">
        <v>2433</v>
      </c>
      <c r="B2434">
        <v>1</v>
      </c>
      <c r="C2434">
        <v>112</v>
      </c>
      <c r="D2434">
        <v>72</v>
      </c>
      <c r="E2434">
        <v>30</v>
      </c>
      <c r="F2434">
        <v>176</v>
      </c>
      <c r="G2434">
        <v>34.4</v>
      </c>
      <c r="H2434">
        <v>0.52800000000000002</v>
      </c>
      <c r="I2434">
        <v>25</v>
      </c>
      <c r="J2434">
        <v>0</v>
      </c>
      <c r="K2434" t="str">
        <f t="shared" si="74"/>
        <v>Young</v>
      </c>
      <c r="L2434" t="str">
        <f t="shared" si="75"/>
        <v>Obese</v>
      </c>
    </row>
    <row r="2435" spans="1:12" x14ac:dyDescent="0.2">
      <c r="A2435">
        <v>2434</v>
      </c>
      <c r="B2435">
        <v>1</v>
      </c>
      <c r="C2435">
        <v>143</v>
      </c>
      <c r="D2435">
        <v>84</v>
      </c>
      <c r="E2435">
        <v>23</v>
      </c>
      <c r="F2435">
        <v>310</v>
      </c>
      <c r="G2435">
        <v>42.4</v>
      </c>
      <c r="H2435">
        <v>1.0760000000000001</v>
      </c>
      <c r="I2435">
        <v>22</v>
      </c>
      <c r="J2435">
        <v>0</v>
      </c>
      <c r="K2435" t="str">
        <f t="shared" ref="K2435:K2498" si="76">IF(I2435&lt;30, "Young", IF( I2435&lt;45, "Middle-Aged", "Senior"))</f>
        <v>Young</v>
      </c>
      <c r="L2435" t="str">
        <f t="shared" ref="L2435:L2498" si="77">IF(G2435&lt;18.5, "Underweight", IF(G2435&lt;25, "Normal", IF(G2435&lt;30, "Overweight", "Obese")))</f>
        <v>Obese</v>
      </c>
    </row>
    <row r="2436" spans="1:12" x14ac:dyDescent="0.2">
      <c r="A2436">
        <v>2435</v>
      </c>
      <c r="B2436">
        <v>1</v>
      </c>
      <c r="C2436">
        <v>143</v>
      </c>
      <c r="D2436">
        <v>74</v>
      </c>
      <c r="E2436">
        <v>22</v>
      </c>
      <c r="F2436">
        <v>61</v>
      </c>
      <c r="G2436">
        <v>26.2</v>
      </c>
      <c r="H2436">
        <v>0.25600000000000001</v>
      </c>
      <c r="I2436">
        <v>21</v>
      </c>
      <c r="J2436">
        <v>0</v>
      </c>
      <c r="K2436" t="str">
        <f t="shared" si="76"/>
        <v>Young</v>
      </c>
      <c r="L2436" t="str">
        <f t="shared" si="77"/>
        <v>Overweight</v>
      </c>
    </row>
    <row r="2437" spans="1:12" x14ac:dyDescent="0.2">
      <c r="A2437">
        <v>2436</v>
      </c>
      <c r="B2437">
        <v>0</v>
      </c>
      <c r="C2437">
        <v>138</v>
      </c>
      <c r="D2437">
        <v>60</v>
      </c>
      <c r="E2437">
        <v>35</v>
      </c>
      <c r="F2437">
        <v>167</v>
      </c>
      <c r="G2437">
        <v>34.6</v>
      </c>
      <c r="H2437">
        <v>0.53400000000000003</v>
      </c>
      <c r="I2437">
        <v>21</v>
      </c>
      <c r="J2437">
        <v>1</v>
      </c>
      <c r="K2437" t="str">
        <f t="shared" si="76"/>
        <v>Young</v>
      </c>
      <c r="L2437" t="str">
        <f t="shared" si="77"/>
        <v>Obese</v>
      </c>
    </row>
    <row r="2438" spans="1:12" x14ac:dyDescent="0.2">
      <c r="A2438">
        <v>2437</v>
      </c>
      <c r="B2438">
        <v>3</v>
      </c>
      <c r="C2438">
        <v>173</v>
      </c>
      <c r="D2438">
        <v>84</v>
      </c>
      <c r="E2438">
        <v>33</v>
      </c>
      <c r="F2438">
        <v>474</v>
      </c>
      <c r="G2438">
        <v>35.700000000000003</v>
      </c>
      <c r="H2438">
        <v>0.25800000000000001</v>
      </c>
      <c r="I2438">
        <v>22</v>
      </c>
      <c r="J2438">
        <v>1</v>
      </c>
      <c r="K2438" t="str">
        <f t="shared" si="76"/>
        <v>Young</v>
      </c>
      <c r="L2438" t="str">
        <f t="shared" si="77"/>
        <v>Obese</v>
      </c>
    </row>
    <row r="2439" spans="1:12" x14ac:dyDescent="0.2">
      <c r="A2439">
        <v>2438</v>
      </c>
      <c r="B2439">
        <v>1</v>
      </c>
      <c r="C2439">
        <v>97</v>
      </c>
      <c r="D2439">
        <v>68</v>
      </c>
      <c r="E2439">
        <v>21</v>
      </c>
      <c r="F2439">
        <v>0</v>
      </c>
      <c r="G2439">
        <v>27.2</v>
      </c>
      <c r="H2439">
        <v>1.095</v>
      </c>
      <c r="I2439">
        <v>22</v>
      </c>
      <c r="J2439">
        <v>0</v>
      </c>
      <c r="K2439" t="str">
        <f t="shared" si="76"/>
        <v>Young</v>
      </c>
      <c r="L2439" t="str">
        <f t="shared" si="77"/>
        <v>Overweight</v>
      </c>
    </row>
    <row r="2440" spans="1:12" x14ac:dyDescent="0.2">
      <c r="A2440">
        <v>2439</v>
      </c>
      <c r="B2440">
        <v>4</v>
      </c>
      <c r="C2440">
        <v>144</v>
      </c>
      <c r="D2440">
        <v>82</v>
      </c>
      <c r="E2440">
        <v>32</v>
      </c>
      <c r="F2440">
        <v>0</v>
      </c>
      <c r="G2440">
        <v>38.5</v>
      </c>
      <c r="H2440">
        <v>0.55400000000000005</v>
      </c>
      <c r="I2440">
        <v>37</v>
      </c>
      <c r="J2440">
        <v>1</v>
      </c>
      <c r="K2440" t="str">
        <f t="shared" si="76"/>
        <v>Middle-Aged</v>
      </c>
      <c r="L2440" t="str">
        <f t="shared" si="77"/>
        <v>Obese</v>
      </c>
    </row>
    <row r="2441" spans="1:12" x14ac:dyDescent="0.2">
      <c r="A2441">
        <v>2440</v>
      </c>
      <c r="B2441">
        <v>1</v>
      </c>
      <c r="C2441">
        <v>83</v>
      </c>
      <c r="D2441">
        <v>68</v>
      </c>
      <c r="E2441">
        <v>0</v>
      </c>
      <c r="F2441">
        <v>0</v>
      </c>
      <c r="G2441">
        <v>18.2</v>
      </c>
      <c r="H2441">
        <v>0.624</v>
      </c>
      <c r="I2441">
        <v>27</v>
      </c>
      <c r="J2441">
        <v>0</v>
      </c>
      <c r="K2441" t="str">
        <f t="shared" si="76"/>
        <v>Young</v>
      </c>
      <c r="L2441" t="str">
        <f t="shared" si="77"/>
        <v>Underweight</v>
      </c>
    </row>
    <row r="2442" spans="1:12" x14ac:dyDescent="0.2">
      <c r="A2442">
        <v>2441</v>
      </c>
      <c r="B2442">
        <v>3</v>
      </c>
      <c r="C2442">
        <v>129</v>
      </c>
      <c r="D2442">
        <v>64</v>
      </c>
      <c r="E2442">
        <v>29</v>
      </c>
      <c r="F2442">
        <v>115</v>
      </c>
      <c r="G2442">
        <v>26.4</v>
      </c>
      <c r="H2442">
        <v>0.219</v>
      </c>
      <c r="I2442">
        <v>28</v>
      </c>
      <c r="J2442">
        <v>1</v>
      </c>
      <c r="K2442" t="str">
        <f t="shared" si="76"/>
        <v>Young</v>
      </c>
      <c r="L2442" t="str">
        <f t="shared" si="77"/>
        <v>Overweight</v>
      </c>
    </row>
    <row r="2443" spans="1:12" x14ac:dyDescent="0.2">
      <c r="A2443">
        <v>2442</v>
      </c>
      <c r="B2443">
        <v>1</v>
      </c>
      <c r="C2443">
        <v>119</v>
      </c>
      <c r="D2443">
        <v>88</v>
      </c>
      <c r="E2443">
        <v>41</v>
      </c>
      <c r="F2443">
        <v>170</v>
      </c>
      <c r="G2443">
        <v>45.3</v>
      </c>
      <c r="H2443">
        <v>0.50700000000000001</v>
      </c>
      <c r="I2443">
        <v>26</v>
      </c>
      <c r="J2443">
        <v>0</v>
      </c>
      <c r="K2443" t="str">
        <f t="shared" si="76"/>
        <v>Young</v>
      </c>
      <c r="L2443" t="str">
        <f t="shared" si="77"/>
        <v>Obese</v>
      </c>
    </row>
    <row r="2444" spans="1:12" x14ac:dyDescent="0.2">
      <c r="A2444">
        <v>2443</v>
      </c>
      <c r="B2444">
        <v>2</v>
      </c>
      <c r="C2444">
        <v>94</v>
      </c>
      <c r="D2444">
        <v>68</v>
      </c>
      <c r="E2444">
        <v>18</v>
      </c>
      <c r="F2444">
        <v>76</v>
      </c>
      <c r="G2444">
        <v>26</v>
      </c>
      <c r="H2444">
        <v>0.56100000000000005</v>
      </c>
      <c r="I2444">
        <v>21</v>
      </c>
      <c r="J2444">
        <v>0</v>
      </c>
      <c r="K2444" t="str">
        <f t="shared" si="76"/>
        <v>Young</v>
      </c>
      <c r="L2444" t="str">
        <f t="shared" si="77"/>
        <v>Overweight</v>
      </c>
    </row>
    <row r="2445" spans="1:12" x14ac:dyDescent="0.2">
      <c r="A2445">
        <v>2444</v>
      </c>
      <c r="B2445">
        <v>0</v>
      </c>
      <c r="C2445">
        <v>102</v>
      </c>
      <c r="D2445">
        <v>64</v>
      </c>
      <c r="E2445">
        <v>46</v>
      </c>
      <c r="F2445">
        <v>78</v>
      </c>
      <c r="G2445">
        <v>40.6</v>
      </c>
      <c r="H2445">
        <v>0.496</v>
      </c>
      <c r="I2445">
        <v>21</v>
      </c>
      <c r="J2445">
        <v>0</v>
      </c>
      <c r="K2445" t="str">
        <f t="shared" si="76"/>
        <v>Young</v>
      </c>
      <c r="L2445" t="str">
        <f t="shared" si="77"/>
        <v>Obese</v>
      </c>
    </row>
    <row r="2446" spans="1:12" x14ac:dyDescent="0.2">
      <c r="A2446">
        <v>2445</v>
      </c>
      <c r="B2446">
        <v>2</v>
      </c>
      <c r="C2446">
        <v>115</v>
      </c>
      <c r="D2446">
        <v>64</v>
      </c>
      <c r="E2446">
        <v>22</v>
      </c>
      <c r="F2446">
        <v>0</v>
      </c>
      <c r="G2446">
        <v>30.8</v>
      </c>
      <c r="H2446">
        <v>0.42099999999999999</v>
      </c>
      <c r="I2446">
        <v>21</v>
      </c>
      <c r="J2446">
        <v>0</v>
      </c>
      <c r="K2446" t="str">
        <f t="shared" si="76"/>
        <v>Young</v>
      </c>
      <c r="L2446" t="str">
        <f t="shared" si="77"/>
        <v>Obese</v>
      </c>
    </row>
    <row r="2447" spans="1:12" x14ac:dyDescent="0.2">
      <c r="A2447">
        <v>2446</v>
      </c>
      <c r="B2447">
        <v>8</v>
      </c>
      <c r="C2447">
        <v>151</v>
      </c>
      <c r="D2447">
        <v>78</v>
      </c>
      <c r="E2447">
        <v>32</v>
      </c>
      <c r="F2447">
        <v>210</v>
      </c>
      <c r="G2447">
        <v>42.9</v>
      </c>
      <c r="H2447">
        <v>0.51600000000000001</v>
      </c>
      <c r="I2447">
        <v>36</v>
      </c>
      <c r="J2447">
        <v>1</v>
      </c>
      <c r="K2447" t="str">
        <f t="shared" si="76"/>
        <v>Middle-Aged</v>
      </c>
      <c r="L2447" t="str">
        <f t="shared" si="77"/>
        <v>Obese</v>
      </c>
    </row>
    <row r="2448" spans="1:12" x14ac:dyDescent="0.2">
      <c r="A2448">
        <v>2447</v>
      </c>
      <c r="B2448">
        <v>4</v>
      </c>
      <c r="C2448">
        <v>184</v>
      </c>
      <c r="D2448">
        <v>78</v>
      </c>
      <c r="E2448">
        <v>39</v>
      </c>
      <c r="F2448">
        <v>277</v>
      </c>
      <c r="G2448">
        <v>37</v>
      </c>
      <c r="H2448">
        <v>0.26400000000000001</v>
      </c>
      <c r="I2448">
        <v>31</v>
      </c>
      <c r="J2448">
        <v>1</v>
      </c>
      <c r="K2448" t="str">
        <f t="shared" si="76"/>
        <v>Middle-Aged</v>
      </c>
      <c r="L2448" t="str">
        <f t="shared" si="77"/>
        <v>Obese</v>
      </c>
    </row>
    <row r="2449" spans="1:12" x14ac:dyDescent="0.2">
      <c r="A2449">
        <v>2448</v>
      </c>
      <c r="B2449">
        <v>0</v>
      </c>
      <c r="C2449">
        <v>94</v>
      </c>
      <c r="D2449">
        <v>121</v>
      </c>
      <c r="E2449">
        <v>0</v>
      </c>
      <c r="F2449">
        <v>0</v>
      </c>
      <c r="G2449">
        <v>121</v>
      </c>
      <c r="H2449">
        <v>0.25600000000000001</v>
      </c>
      <c r="I2449">
        <v>25</v>
      </c>
      <c r="J2449">
        <v>0</v>
      </c>
      <c r="K2449" t="str">
        <f t="shared" si="76"/>
        <v>Young</v>
      </c>
      <c r="L2449" t="str">
        <f t="shared" si="77"/>
        <v>Obese</v>
      </c>
    </row>
    <row r="2450" spans="1:12" x14ac:dyDescent="0.2">
      <c r="A2450">
        <v>2449</v>
      </c>
      <c r="B2450">
        <v>1</v>
      </c>
      <c r="C2450">
        <v>181</v>
      </c>
      <c r="D2450">
        <v>64</v>
      </c>
      <c r="E2450">
        <v>30</v>
      </c>
      <c r="F2450">
        <v>180</v>
      </c>
      <c r="G2450">
        <v>34.1</v>
      </c>
      <c r="H2450">
        <v>0.32800000000000001</v>
      </c>
      <c r="I2450">
        <v>38</v>
      </c>
      <c r="J2450">
        <v>1</v>
      </c>
      <c r="K2450" t="str">
        <f t="shared" si="76"/>
        <v>Middle-Aged</v>
      </c>
      <c r="L2450" t="str">
        <f t="shared" si="77"/>
        <v>Obese</v>
      </c>
    </row>
    <row r="2451" spans="1:12" x14ac:dyDescent="0.2">
      <c r="A2451">
        <v>2450</v>
      </c>
      <c r="B2451">
        <v>0</v>
      </c>
      <c r="C2451">
        <v>135</v>
      </c>
      <c r="D2451">
        <v>94</v>
      </c>
      <c r="E2451">
        <v>46</v>
      </c>
      <c r="F2451">
        <v>145</v>
      </c>
      <c r="G2451">
        <v>40.6</v>
      </c>
      <c r="H2451">
        <v>0.28399999999999997</v>
      </c>
      <c r="I2451">
        <v>26</v>
      </c>
      <c r="J2451">
        <v>0</v>
      </c>
      <c r="K2451" t="str">
        <f t="shared" si="76"/>
        <v>Young</v>
      </c>
      <c r="L2451" t="str">
        <f t="shared" si="77"/>
        <v>Obese</v>
      </c>
    </row>
    <row r="2452" spans="1:12" x14ac:dyDescent="0.2">
      <c r="A2452">
        <v>2451</v>
      </c>
      <c r="B2452">
        <v>1</v>
      </c>
      <c r="C2452">
        <v>95</v>
      </c>
      <c r="D2452">
        <v>82</v>
      </c>
      <c r="E2452">
        <v>25</v>
      </c>
      <c r="F2452">
        <v>180</v>
      </c>
      <c r="G2452">
        <v>35</v>
      </c>
      <c r="H2452">
        <v>0.23300000000000001</v>
      </c>
      <c r="I2452">
        <v>43</v>
      </c>
      <c r="J2452">
        <v>1</v>
      </c>
      <c r="K2452" t="str">
        <f t="shared" si="76"/>
        <v>Middle-Aged</v>
      </c>
      <c r="L2452" t="str">
        <f t="shared" si="77"/>
        <v>Obese</v>
      </c>
    </row>
    <row r="2453" spans="1:12" x14ac:dyDescent="0.2">
      <c r="A2453">
        <v>2452</v>
      </c>
      <c r="B2453">
        <v>2</v>
      </c>
      <c r="C2453">
        <v>99</v>
      </c>
      <c r="D2453">
        <v>121</v>
      </c>
      <c r="E2453">
        <v>0</v>
      </c>
      <c r="F2453">
        <v>0</v>
      </c>
      <c r="G2453">
        <v>22.2</v>
      </c>
      <c r="H2453">
        <v>0.108</v>
      </c>
      <c r="I2453">
        <v>23</v>
      </c>
      <c r="J2453">
        <v>0</v>
      </c>
      <c r="K2453" t="str">
        <f t="shared" si="76"/>
        <v>Young</v>
      </c>
      <c r="L2453" t="str">
        <f t="shared" si="77"/>
        <v>Normal</v>
      </c>
    </row>
    <row r="2454" spans="1:12" x14ac:dyDescent="0.2">
      <c r="A2454">
        <v>2453</v>
      </c>
      <c r="B2454">
        <v>3</v>
      </c>
      <c r="C2454">
        <v>89</v>
      </c>
      <c r="D2454">
        <v>74</v>
      </c>
      <c r="E2454">
        <v>16</v>
      </c>
      <c r="F2454">
        <v>85</v>
      </c>
      <c r="G2454">
        <v>30.4</v>
      </c>
      <c r="H2454">
        <v>0.55100000000000005</v>
      </c>
      <c r="I2454">
        <v>38</v>
      </c>
      <c r="J2454">
        <v>0</v>
      </c>
      <c r="K2454" t="str">
        <f t="shared" si="76"/>
        <v>Middle-Aged</v>
      </c>
      <c r="L2454" t="str">
        <f t="shared" si="77"/>
        <v>Obese</v>
      </c>
    </row>
    <row r="2455" spans="1:12" x14ac:dyDescent="0.2">
      <c r="A2455">
        <v>2454</v>
      </c>
      <c r="B2455">
        <v>1</v>
      </c>
      <c r="C2455">
        <v>80</v>
      </c>
      <c r="D2455">
        <v>74</v>
      </c>
      <c r="E2455">
        <v>11</v>
      </c>
      <c r="F2455">
        <v>60</v>
      </c>
      <c r="G2455">
        <v>30</v>
      </c>
      <c r="H2455">
        <v>0.52700000000000002</v>
      </c>
      <c r="I2455">
        <v>22</v>
      </c>
      <c r="J2455">
        <v>0</v>
      </c>
      <c r="K2455" t="str">
        <f t="shared" si="76"/>
        <v>Young</v>
      </c>
      <c r="L2455" t="str">
        <f t="shared" si="77"/>
        <v>Obese</v>
      </c>
    </row>
    <row r="2456" spans="1:12" x14ac:dyDescent="0.2">
      <c r="A2456">
        <v>2455</v>
      </c>
      <c r="B2456">
        <v>1</v>
      </c>
      <c r="C2456">
        <v>173</v>
      </c>
      <c r="D2456">
        <v>74</v>
      </c>
      <c r="E2456">
        <v>0</v>
      </c>
      <c r="F2456">
        <v>0</v>
      </c>
      <c r="G2456">
        <v>36.799999999999997</v>
      </c>
      <c r="H2456">
        <v>8.7999999999999995E-2</v>
      </c>
      <c r="I2456">
        <v>38</v>
      </c>
      <c r="J2456">
        <v>1</v>
      </c>
      <c r="K2456" t="str">
        <f t="shared" si="76"/>
        <v>Middle-Aged</v>
      </c>
      <c r="L2456" t="str">
        <f t="shared" si="77"/>
        <v>Obese</v>
      </c>
    </row>
    <row r="2457" spans="1:12" x14ac:dyDescent="0.2">
      <c r="A2457">
        <v>2456</v>
      </c>
      <c r="B2457">
        <v>1</v>
      </c>
      <c r="C2457">
        <v>109</v>
      </c>
      <c r="D2457">
        <v>38</v>
      </c>
      <c r="E2457">
        <v>18</v>
      </c>
      <c r="F2457">
        <v>120</v>
      </c>
      <c r="G2457">
        <v>23.1</v>
      </c>
      <c r="H2457">
        <v>0.40699999999999997</v>
      </c>
      <c r="I2457">
        <v>26</v>
      </c>
      <c r="J2457">
        <v>0</v>
      </c>
      <c r="K2457" t="str">
        <f t="shared" si="76"/>
        <v>Young</v>
      </c>
      <c r="L2457" t="str">
        <f t="shared" si="77"/>
        <v>Normal</v>
      </c>
    </row>
    <row r="2458" spans="1:12" x14ac:dyDescent="0.2">
      <c r="A2458">
        <v>2457</v>
      </c>
      <c r="B2458">
        <v>1</v>
      </c>
      <c r="C2458">
        <v>108</v>
      </c>
      <c r="D2458">
        <v>88</v>
      </c>
      <c r="E2458">
        <v>19</v>
      </c>
      <c r="F2458">
        <v>0</v>
      </c>
      <c r="G2458">
        <v>27.1</v>
      </c>
      <c r="H2458">
        <v>0.4</v>
      </c>
      <c r="I2458">
        <v>24</v>
      </c>
      <c r="J2458">
        <v>0</v>
      </c>
      <c r="K2458" t="str">
        <f t="shared" si="76"/>
        <v>Young</v>
      </c>
      <c r="L2458" t="str">
        <f t="shared" si="77"/>
        <v>Overweight</v>
      </c>
    </row>
    <row r="2459" spans="1:12" x14ac:dyDescent="0.2">
      <c r="A2459">
        <v>2458</v>
      </c>
      <c r="B2459">
        <v>6</v>
      </c>
      <c r="C2459">
        <v>96</v>
      </c>
      <c r="D2459">
        <v>121</v>
      </c>
      <c r="E2459">
        <v>0</v>
      </c>
      <c r="F2459">
        <v>0</v>
      </c>
      <c r="G2459">
        <v>23.7</v>
      </c>
      <c r="H2459">
        <v>0.19</v>
      </c>
      <c r="I2459">
        <v>28</v>
      </c>
      <c r="J2459">
        <v>0</v>
      </c>
      <c r="K2459" t="str">
        <f t="shared" si="76"/>
        <v>Young</v>
      </c>
      <c r="L2459" t="str">
        <f t="shared" si="77"/>
        <v>Normal</v>
      </c>
    </row>
    <row r="2460" spans="1:12" x14ac:dyDescent="0.2">
      <c r="A2460">
        <v>2459</v>
      </c>
      <c r="B2460">
        <v>1</v>
      </c>
      <c r="C2460">
        <v>124</v>
      </c>
      <c r="D2460">
        <v>74</v>
      </c>
      <c r="E2460">
        <v>36</v>
      </c>
      <c r="F2460">
        <v>0</v>
      </c>
      <c r="G2460">
        <v>27.8</v>
      </c>
      <c r="H2460">
        <v>0.1</v>
      </c>
      <c r="I2460">
        <v>30</v>
      </c>
      <c r="J2460">
        <v>0</v>
      </c>
      <c r="K2460" t="str">
        <f t="shared" si="76"/>
        <v>Middle-Aged</v>
      </c>
      <c r="L2460" t="str">
        <f t="shared" si="77"/>
        <v>Overweight</v>
      </c>
    </row>
    <row r="2461" spans="1:12" x14ac:dyDescent="0.2">
      <c r="A2461">
        <v>2460</v>
      </c>
      <c r="B2461">
        <v>7</v>
      </c>
      <c r="C2461">
        <v>150</v>
      </c>
      <c r="D2461">
        <v>78</v>
      </c>
      <c r="E2461">
        <v>29</v>
      </c>
      <c r="F2461">
        <v>126</v>
      </c>
      <c r="G2461">
        <v>35.200000000000003</v>
      </c>
      <c r="H2461">
        <v>0.69199999999999995</v>
      </c>
      <c r="I2461">
        <v>54</v>
      </c>
      <c r="J2461">
        <v>1</v>
      </c>
      <c r="K2461" t="str">
        <f t="shared" si="76"/>
        <v>Senior</v>
      </c>
      <c r="L2461" t="str">
        <f t="shared" si="77"/>
        <v>Obese</v>
      </c>
    </row>
    <row r="2462" spans="1:12" x14ac:dyDescent="0.2">
      <c r="A2462">
        <v>2461</v>
      </c>
      <c r="B2462">
        <v>4</v>
      </c>
      <c r="C2462">
        <v>183</v>
      </c>
      <c r="D2462">
        <v>121</v>
      </c>
      <c r="E2462">
        <v>0</v>
      </c>
      <c r="F2462">
        <v>0</v>
      </c>
      <c r="G2462">
        <v>28.4</v>
      </c>
      <c r="H2462">
        <v>0.21199999999999999</v>
      </c>
      <c r="I2462">
        <v>36</v>
      </c>
      <c r="J2462">
        <v>1</v>
      </c>
      <c r="K2462" t="str">
        <f t="shared" si="76"/>
        <v>Middle-Aged</v>
      </c>
      <c r="L2462" t="str">
        <f t="shared" si="77"/>
        <v>Overweight</v>
      </c>
    </row>
    <row r="2463" spans="1:12" x14ac:dyDescent="0.2">
      <c r="A2463">
        <v>2462</v>
      </c>
      <c r="B2463">
        <v>1</v>
      </c>
      <c r="C2463">
        <v>124</v>
      </c>
      <c r="D2463">
        <v>60</v>
      </c>
      <c r="E2463">
        <v>32</v>
      </c>
      <c r="F2463">
        <v>0</v>
      </c>
      <c r="G2463">
        <v>35.799999999999997</v>
      </c>
      <c r="H2463">
        <v>0.51400000000000001</v>
      </c>
      <c r="I2463">
        <v>21</v>
      </c>
      <c r="J2463">
        <v>0</v>
      </c>
      <c r="K2463" t="str">
        <f t="shared" si="76"/>
        <v>Young</v>
      </c>
      <c r="L2463" t="str">
        <f t="shared" si="77"/>
        <v>Obese</v>
      </c>
    </row>
    <row r="2464" spans="1:12" x14ac:dyDescent="0.2">
      <c r="A2464">
        <v>2463</v>
      </c>
      <c r="B2464">
        <v>1</v>
      </c>
      <c r="C2464">
        <v>181</v>
      </c>
      <c r="D2464">
        <v>78</v>
      </c>
      <c r="E2464">
        <v>42</v>
      </c>
      <c r="F2464">
        <v>293</v>
      </c>
      <c r="G2464">
        <v>40</v>
      </c>
      <c r="H2464">
        <v>1.258</v>
      </c>
      <c r="I2464">
        <v>22</v>
      </c>
      <c r="J2464">
        <v>1</v>
      </c>
      <c r="K2464" t="str">
        <f t="shared" si="76"/>
        <v>Young</v>
      </c>
      <c r="L2464" t="str">
        <f t="shared" si="77"/>
        <v>Obese</v>
      </c>
    </row>
    <row r="2465" spans="1:12" x14ac:dyDescent="0.2">
      <c r="A2465">
        <v>2464</v>
      </c>
      <c r="B2465">
        <v>1</v>
      </c>
      <c r="C2465">
        <v>92</v>
      </c>
      <c r="D2465">
        <v>62</v>
      </c>
      <c r="E2465">
        <v>25</v>
      </c>
      <c r="F2465">
        <v>41</v>
      </c>
      <c r="G2465">
        <v>19.5</v>
      </c>
      <c r="H2465">
        <v>0.48199999999999998</v>
      </c>
      <c r="I2465">
        <v>25</v>
      </c>
      <c r="J2465">
        <v>0</v>
      </c>
      <c r="K2465" t="str">
        <f t="shared" si="76"/>
        <v>Young</v>
      </c>
      <c r="L2465" t="str">
        <f t="shared" si="77"/>
        <v>Normal</v>
      </c>
    </row>
    <row r="2466" spans="1:12" x14ac:dyDescent="0.2">
      <c r="A2466">
        <v>2465</v>
      </c>
      <c r="B2466">
        <v>0</v>
      </c>
      <c r="C2466">
        <v>152</v>
      </c>
      <c r="D2466">
        <v>82</v>
      </c>
      <c r="E2466">
        <v>39</v>
      </c>
      <c r="F2466">
        <v>272</v>
      </c>
      <c r="G2466">
        <v>41.5</v>
      </c>
      <c r="H2466">
        <v>0.27</v>
      </c>
      <c r="I2466">
        <v>27</v>
      </c>
      <c r="J2466">
        <v>0</v>
      </c>
      <c r="K2466" t="str">
        <f t="shared" si="76"/>
        <v>Young</v>
      </c>
      <c r="L2466" t="str">
        <f t="shared" si="77"/>
        <v>Obese</v>
      </c>
    </row>
    <row r="2467" spans="1:12" x14ac:dyDescent="0.2">
      <c r="A2467">
        <v>2466</v>
      </c>
      <c r="B2467">
        <v>1</v>
      </c>
      <c r="C2467">
        <v>111</v>
      </c>
      <c r="D2467">
        <v>62</v>
      </c>
      <c r="E2467">
        <v>13</v>
      </c>
      <c r="F2467">
        <v>182</v>
      </c>
      <c r="G2467">
        <v>24</v>
      </c>
      <c r="H2467">
        <v>0.13800000000000001</v>
      </c>
      <c r="I2467">
        <v>23</v>
      </c>
      <c r="J2467">
        <v>0</v>
      </c>
      <c r="K2467" t="str">
        <f t="shared" si="76"/>
        <v>Young</v>
      </c>
      <c r="L2467" t="str">
        <f t="shared" si="77"/>
        <v>Normal</v>
      </c>
    </row>
    <row r="2468" spans="1:12" x14ac:dyDescent="0.2">
      <c r="A2468">
        <v>2467</v>
      </c>
      <c r="B2468">
        <v>3</v>
      </c>
      <c r="C2468">
        <v>106</v>
      </c>
      <c r="D2468">
        <v>54</v>
      </c>
      <c r="E2468">
        <v>21</v>
      </c>
      <c r="F2468">
        <v>158</v>
      </c>
      <c r="G2468">
        <v>30.9</v>
      </c>
      <c r="H2468">
        <v>0.29199999999999998</v>
      </c>
      <c r="I2468">
        <v>24</v>
      </c>
      <c r="J2468">
        <v>0</v>
      </c>
      <c r="K2468" t="str">
        <f t="shared" si="76"/>
        <v>Young</v>
      </c>
      <c r="L2468" t="str">
        <f t="shared" si="77"/>
        <v>Obese</v>
      </c>
    </row>
    <row r="2469" spans="1:12" x14ac:dyDescent="0.2">
      <c r="A2469">
        <v>2468</v>
      </c>
      <c r="B2469">
        <v>3</v>
      </c>
      <c r="C2469">
        <v>174</v>
      </c>
      <c r="D2469">
        <v>58</v>
      </c>
      <c r="E2469">
        <v>22</v>
      </c>
      <c r="F2469">
        <v>194</v>
      </c>
      <c r="G2469">
        <v>32.9</v>
      </c>
      <c r="H2469">
        <v>0.59299999999999997</v>
      </c>
      <c r="I2469">
        <v>36</v>
      </c>
      <c r="J2469">
        <v>1</v>
      </c>
      <c r="K2469" t="str">
        <f t="shared" si="76"/>
        <v>Middle-Aged</v>
      </c>
      <c r="L2469" t="str">
        <f t="shared" si="77"/>
        <v>Obese</v>
      </c>
    </row>
    <row r="2470" spans="1:12" x14ac:dyDescent="0.2">
      <c r="A2470">
        <v>2469</v>
      </c>
      <c r="B2470">
        <v>7</v>
      </c>
      <c r="C2470">
        <v>168</v>
      </c>
      <c r="D2470">
        <v>88</v>
      </c>
      <c r="E2470">
        <v>42</v>
      </c>
      <c r="F2470">
        <v>321</v>
      </c>
      <c r="G2470">
        <v>38.200000000000003</v>
      </c>
      <c r="H2470">
        <v>0.78700000000000003</v>
      </c>
      <c r="I2470">
        <v>40</v>
      </c>
      <c r="J2470">
        <v>1</v>
      </c>
      <c r="K2470" t="str">
        <f t="shared" si="76"/>
        <v>Middle-Aged</v>
      </c>
      <c r="L2470" t="str">
        <f t="shared" si="77"/>
        <v>Obese</v>
      </c>
    </row>
    <row r="2471" spans="1:12" x14ac:dyDescent="0.2">
      <c r="A2471">
        <v>2470</v>
      </c>
      <c r="B2471">
        <v>6</v>
      </c>
      <c r="C2471">
        <v>105</v>
      </c>
      <c r="D2471">
        <v>80</v>
      </c>
      <c r="E2471">
        <v>28</v>
      </c>
      <c r="F2471">
        <v>0</v>
      </c>
      <c r="G2471">
        <v>32.5</v>
      </c>
      <c r="H2471">
        <v>0.878</v>
      </c>
      <c r="I2471">
        <v>26</v>
      </c>
      <c r="J2471">
        <v>0</v>
      </c>
      <c r="K2471" t="str">
        <f t="shared" si="76"/>
        <v>Young</v>
      </c>
      <c r="L2471" t="str">
        <f t="shared" si="77"/>
        <v>Obese</v>
      </c>
    </row>
    <row r="2472" spans="1:12" x14ac:dyDescent="0.2">
      <c r="A2472">
        <v>2471</v>
      </c>
      <c r="B2472">
        <v>11</v>
      </c>
      <c r="C2472">
        <v>138</v>
      </c>
      <c r="D2472">
        <v>74</v>
      </c>
      <c r="E2472">
        <v>26</v>
      </c>
      <c r="F2472">
        <v>144</v>
      </c>
      <c r="G2472">
        <v>36.1</v>
      </c>
      <c r="H2472">
        <v>0.55700000000000005</v>
      </c>
      <c r="I2472">
        <v>50</v>
      </c>
      <c r="J2472">
        <v>1</v>
      </c>
      <c r="K2472" t="str">
        <f t="shared" si="76"/>
        <v>Senior</v>
      </c>
      <c r="L2472" t="str">
        <f t="shared" si="77"/>
        <v>Obese</v>
      </c>
    </row>
    <row r="2473" spans="1:12" x14ac:dyDescent="0.2">
      <c r="A2473">
        <v>2472</v>
      </c>
      <c r="B2473">
        <v>3</v>
      </c>
      <c r="C2473">
        <v>106</v>
      </c>
      <c r="D2473">
        <v>72</v>
      </c>
      <c r="E2473">
        <v>0</v>
      </c>
      <c r="F2473">
        <v>0</v>
      </c>
      <c r="G2473">
        <v>25.8</v>
      </c>
      <c r="H2473">
        <v>0.20699999999999999</v>
      </c>
      <c r="I2473">
        <v>27</v>
      </c>
      <c r="J2473">
        <v>0</v>
      </c>
      <c r="K2473" t="str">
        <f t="shared" si="76"/>
        <v>Young</v>
      </c>
      <c r="L2473" t="str">
        <f t="shared" si="77"/>
        <v>Overweight</v>
      </c>
    </row>
    <row r="2474" spans="1:12" x14ac:dyDescent="0.2">
      <c r="A2474">
        <v>2473</v>
      </c>
      <c r="B2474">
        <v>6</v>
      </c>
      <c r="C2474">
        <v>117</v>
      </c>
      <c r="D2474">
        <v>96</v>
      </c>
      <c r="E2474">
        <v>0</v>
      </c>
      <c r="F2474">
        <v>0</v>
      </c>
      <c r="G2474">
        <v>28.7</v>
      </c>
      <c r="H2474">
        <v>0.157</v>
      </c>
      <c r="I2474">
        <v>30</v>
      </c>
      <c r="J2474">
        <v>0</v>
      </c>
      <c r="K2474" t="str">
        <f t="shared" si="76"/>
        <v>Middle-Aged</v>
      </c>
      <c r="L2474" t="str">
        <f t="shared" si="77"/>
        <v>Overweight</v>
      </c>
    </row>
    <row r="2475" spans="1:12" x14ac:dyDescent="0.2">
      <c r="A2475">
        <v>2474</v>
      </c>
      <c r="B2475">
        <v>2</v>
      </c>
      <c r="C2475">
        <v>68</v>
      </c>
      <c r="D2475">
        <v>62</v>
      </c>
      <c r="E2475">
        <v>13</v>
      </c>
      <c r="F2475">
        <v>15</v>
      </c>
      <c r="G2475">
        <v>20.100000000000001</v>
      </c>
      <c r="H2475">
        <v>0.25700000000000001</v>
      </c>
      <c r="I2475">
        <v>23</v>
      </c>
      <c r="J2475">
        <v>0</v>
      </c>
      <c r="K2475" t="str">
        <f t="shared" si="76"/>
        <v>Young</v>
      </c>
      <c r="L2475" t="str">
        <f t="shared" si="77"/>
        <v>Normal</v>
      </c>
    </row>
    <row r="2476" spans="1:12" x14ac:dyDescent="0.2">
      <c r="A2476">
        <v>2475</v>
      </c>
      <c r="B2476">
        <v>9</v>
      </c>
      <c r="C2476">
        <v>112</v>
      </c>
      <c r="D2476">
        <v>82</v>
      </c>
      <c r="E2476">
        <v>24</v>
      </c>
      <c r="F2476">
        <v>0</v>
      </c>
      <c r="G2476">
        <v>28.2</v>
      </c>
      <c r="H2476">
        <v>1.282</v>
      </c>
      <c r="I2476">
        <v>50</v>
      </c>
      <c r="J2476">
        <v>1</v>
      </c>
      <c r="K2476" t="str">
        <f t="shared" si="76"/>
        <v>Senior</v>
      </c>
      <c r="L2476" t="str">
        <f t="shared" si="77"/>
        <v>Overweight</v>
      </c>
    </row>
    <row r="2477" spans="1:12" x14ac:dyDescent="0.2">
      <c r="A2477">
        <v>2476</v>
      </c>
      <c r="B2477">
        <v>0</v>
      </c>
      <c r="C2477">
        <v>119</v>
      </c>
      <c r="D2477">
        <v>121</v>
      </c>
      <c r="E2477">
        <v>0</v>
      </c>
      <c r="F2477">
        <v>0</v>
      </c>
      <c r="G2477">
        <v>32.4</v>
      </c>
      <c r="H2477">
        <v>0.14099999999999999</v>
      </c>
      <c r="I2477">
        <v>24</v>
      </c>
      <c r="J2477">
        <v>1</v>
      </c>
      <c r="K2477" t="str">
        <f t="shared" si="76"/>
        <v>Young</v>
      </c>
      <c r="L2477" t="str">
        <f t="shared" si="77"/>
        <v>Obese</v>
      </c>
    </row>
    <row r="2478" spans="1:12" x14ac:dyDescent="0.2">
      <c r="A2478">
        <v>2477</v>
      </c>
      <c r="B2478">
        <v>2</v>
      </c>
      <c r="C2478">
        <v>112</v>
      </c>
      <c r="D2478">
        <v>86</v>
      </c>
      <c r="E2478">
        <v>42</v>
      </c>
      <c r="F2478">
        <v>160</v>
      </c>
      <c r="G2478">
        <v>38.4</v>
      </c>
      <c r="H2478">
        <v>0.246</v>
      </c>
      <c r="I2478">
        <v>28</v>
      </c>
      <c r="J2478">
        <v>0</v>
      </c>
      <c r="K2478" t="str">
        <f t="shared" si="76"/>
        <v>Young</v>
      </c>
      <c r="L2478" t="str">
        <f t="shared" si="77"/>
        <v>Obese</v>
      </c>
    </row>
    <row r="2479" spans="1:12" x14ac:dyDescent="0.2">
      <c r="A2479">
        <v>2478</v>
      </c>
      <c r="B2479">
        <v>2</v>
      </c>
      <c r="C2479">
        <v>92</v>
      </c>
      <c r="D2479">
        <v>76</v>
      </c>
      <c r="E2479">
        <v>20</v>
      </c>
      <c r="F2479">
        <v>0</v>
      </c>
      <c r="G2479">
        <v>24.2</v>
      </c>
      <c r="H2479">
        <v>1.698</v>
      </c>
      <c r="I2479">
        <v>28</v>
      </c>
      <c r="J2479">
        <v>0</v>
      </c>
      <c r="K2479" t="str">
        <f t="shared" si="76"/>
        <v>Young</v>
      </c>
      <c r="L2479" t="str">
        <f t="shared" si="77"/>
        <v>Normal</v>
      </c>
    </row>
    <row r="2480" spans="1:12" x14ac:dyDescent="0.2">
      <c r="A2480">
        <v>2479</v>
      </c>
      <c r="B2480">
        <v>6</v>
      </c>
      <c r="C2480">
        <v>183</v>
      </c>
      <c r="D2480">
        <v>94</v>
      </c>
      <c r="E2480">
        <v>0</v>
      </c>
      <c r="F2480">
        <v>0</v>
      </c>
      <c r="G2480">
        <v>40.799999999999997</v>
      </c>
      <c r="H2480">
        <v>1.4610000000000001</v>
      </c>
      <c r="I2480">
        <v>45</v>
      </c>
      <c r="J2480">
        <v>0</v>
      </c>
      <c r="K2480" t="str">
        <f t="shared" si="76"/>
        <v>Senior</v>
      </c>
      <c r="L2480" t="str">
        <f t="shared" si="77"/>
        <v>Obese</v>
      </c>
    </row>
    <row r="2481" spans="1:12" x14ac:dyDescent="0.2">
      <c r="A2481">
        <v>2480</v>
      </c>
      <c r="B2481">
        <v>0</v>
      </c>
      <c r="C2481">
        <v>94</v>
      </c>
      <c r="D2481">
        <v>70</v>
      </c>
      <c r="E2481">
        <v>27</v>
      </c>
      <c r="F2481">
        <v>115</v>
      </c>
      <c r="G2481">
        <v>43.5</v>
      </c>
      <c r="H2481">
        <v>0.34699999999999998</v>
      </c>
      <c r="I2481">
        <v>21</v>
      </c>
      <c r="J2481">
        <v>0</v>
      </c>
      <c r="K2481" t="str">
        <f t="shared" si="76"/>
        <v>Young</v>
      </c>
      <c r="L2481" t="str">
        <f t="shared" si="77"/>
        <v>Obese</v>
      </c>
    </row>
    <row r="2482" spans="1:12" x14ac:dyDescent="0.2">
      <c r="A2482">
        <v>2481</v>
      </c>
      <c r="B2482">
        <v>2</v>
      </c>
      <c r="C2482">
        <v>108</v>
      </c>
      <c r="D2482">
        <v>64</v>
      </c>
      <c r="E2482">
        <v>0</v>
      </c>
      <c r="F2482">
        <v>0</v>
      </c>
      <c r="G2482">
        <v>30.8</v>
      </c>
      <c r="H2482">
        <v>0.158</v>
      </c>
      <c r="I2482">
        <v>21</v>
      </c>
      <c r="J2482">
        <v>0</v>
      </c>
      <c r="K2482" t="str">
        <f t="shared" si="76"/>
        <v>Young</v>
      </c>
      <c r="L2482" t="str">
        <f t="shared" si="77"/>
        <v>Obese</v>
      </c>
    </row>
    <row r="2483" spans="1:12" x14ac:dyDescent="0.2">
      <c r="A2483">
        <v>2482</v>
      </c>
      <c r="B2483">
        <v>4</v>
      </c>
      <c r="C2483">
        <v>90</v>
      </c>
      <c r="D2483">
        <v>88</v>
      </c>
      <c r="E2483">
        <v>47</v>
      </c>
      <c r="F2483">
        <v>54</v>
      </c>
      <c r="G2483">
        <v>37.700000000000003</v>
      </c>
      <c r="H2483">
        <v>0.36199999999999999</v>
      </c>
      <c r="I2483">
        <v>29</v>
      </c>
      <c r="J2483">
        <v>0</v>
      </c>
      <c r="K2483" t="str">
        <f t="shared" si="76"/>
        <v>Young</v>
      </c>
      <c r="L2483" t="str">
        <f t="shared" si="77"/>
        <v>Obese</v>
      </c>
    </row>
    <row r="2484" spans="1:12" x14ac:dyDescent="0.2">
      <c r="A2484">
        <v>2483</v>
      </c>
      <c r="B2484">
        <v>0</v>
      </c>
      <c r="C2484">
        <v>125</v>
      </c>
      <c r="D2484">
        <v>68</v>
      </c>
      <c r="E2484">
        <v>0</v>
      </c>
      <c r="F2484">
        <v>0</v>
      </c>
      <c r="G2484">
        <v>24.7</v>
      </c>
      <c r="H2484">
        <v>0.20599999999999999</v>
      </c>
      <c r="I2484">
        <v>21</v>
      </c>
      <c r="J2484">
        <v>0</v>
      </c>
      <c r="K2484" t="str">
        <f t="shared" si="76"/>
        <v>Young</v>
      </c>
      <c r="L2484" t="str">
        <f t="shared" si="77"/>
        <v>Normal</v>
      </c>
    </row>
    <row r="2485" spans="1:12" x14ac:dyDescent="0.2">
      <c r="A2485">
        <v>2484</v>
      </c>
      <c r="B2485">
        <v>0</v>
      </c>
      <c r="C2485">
        <v>132</v>
      </c>
      <c r="D2485">
        <v>78</v>
      </c>
      <c r="E2485">
        <v>0</v>
      </c>
      <c r="F2485">
        <v>0</v>
      </c>
      <c r="G2485">
        <v>32.4</v>
      </c>
      <c r="H2485">
        <v>0.39300000000000002</v>
      </c>
      <c r="I2485">
        <v>21</v>
      </c>
      <c r="J2485">
        <v>0</v>
      </c>
      <c r="K2485" t="str">
        <f t="shared" si="76"/>
        <v>Young</v>
      </c>
      <c r="L2485" t="str">
        <f t="shared" si="77"/>
        <v>Obese</v>
      </c>
    </row>
    <row r="2486" spans="1:12" x14ac:dyDescent="0.2">
      <c r="A2486">
        <v>2485</v>
      </c>
      <c r="B2486">
        <v>5</v>
      </c>
      <c r="C2486">
        <v>128</v>
      </c>
      <c r="D2486">
        <v>80</v>
      </c>
      <c r="E2486">
        <v>0</v>
      </c>
      <c r="F2486">
        <v>0</v>
      </c>
      <c r="G2486">
        <v>34.6</v>
      </c>
      <c r="H2486">
        <v>0.14399999999999999</v>
      </c>
      <c r="I2486">
        <v>45</v>
      </c>
      <c r="J2486">
        <v>0</v>
      </c>
      <c r="K2486" t="str">
        <f t="shared" si="76"/>
        <v>Senior</v>
      </c>
      <c r="L2486" t="str">
        <f t="shared" si="77"/>
        <v>Obese</v>
      </c>
    </row>
    <row r="2487" spans="1:12" x14ac:dyDescent="0.2">
      <c r="A2487">
        <v>2486</v>
      </c>
      <c r="B2487">
        <v>4</v>
      </c>
      <c r="C2487">
        <v>94</v>
      </c>
      <c r="D2487">
        <v>65</v>
      </c>
      <c r="E2487">
        <v>22</v>
      </c>
      <c r="F2487">
        <v>0</v>
      </c>
      <c r="G2487">
        <v>24.7</v>
      </c>
      <c r="H2487">
        <v>0.14799999999999999</v>
      </c>
      <c r="I2487">
        <v>21</v>
      </c>
      <c r="J2487">
        <v>0</v>
      </c>
      <c r="K2487" t="str">
        <f t="shared" si="76"/>
        <v>Young</v>
      </c>
      <c r="L2487" t="str">
        <f t="shared" si="77"/>
        <v>Normal</v>
      </c>
    </row>
    <row r="2488" spans="1:12" x14ac:dyDescent="0.2">
      <c r="A2488">
        <v>2487</v>
      </c>
      <c r="B2488">
        <v>7</v>
      </c>
      <c r="C2488">
        <v>114</v>
      </c>
      <c r="D2488">
        <v>64</v>
      </c>
      <c r="E2488">
        <v>0</v>
      </c>
      <c r="F2488">
        <v>0</v>
      </c>
      <c r="G2488">
        <v>27.4</v>
      </c>
      <c r="H2488">
        <v>0.73199999999999998</v>
      </c>
      <c r="I2488">
        <v>34</v>
      </c>
      <c r="J2488">
        <v>1</v>
      </c>
      <c r="K2488" t="str">
        <f t="shared" si="76"/>
        <v>Middle-Aged</v>
      </c>
      <c r="L2488" t="str">
        <f t="shared" si="77"/>
        <v>Overweight</v>
      </c>
    </row>
    <row r="2489" spans="1:12" x14ac:dyDescent="0.2">
      <c r="A2489">
        <v>2488</v>
      </c>
      <c r="B2489">
        <v>0</v>
      </c>
      <c r="C2489">
        <v>102</v>
      </c>
      <c r="D2489">
        <v>78</v>
      </c>
      <c r="E2489">
        <v>40</v>
      </c>
      <c r="F2489">
        <v>90</v>
      </c>
      <c r="G2489">
        <v>34.5</v>
      </c>
      <c r="H2489">
        <v>0.23799999999999999</v>
      </c>
      <c r="I2489">
        <v>24</v>
      </c>
      <c r="J2489">
        <v>0</v>
      </c>
      <c r="K2489" t="str">
        <f t="shared" si="76"/>
        <v>Young</v>
      </c>
      <c r="L2489" t="str">
        <f t="shared" si="77"/>
        <v>Obese</v>
      </c>
    </row>
    <row r="2490" spans="1:12" x14ac:dyDescent="0.2">
      <c r="A2490">
        <v>2489</v>
      </c>
      <c r="B2490">
        <v>2</v>
      </c>
      <c r="C2490">
        <v>111</v>
      </c>
      <c r="D2490">
        <v>60</v>
      </c>
      <c r="E2490">
        <v>0</v>
      </c>
      <c r="F2490">
        <v>0</v>
      </c>
      <c r="G2490">
        <v>26.2</v>
      </c>
      <c r="H2490">
        <v>0.34300000000000003</v>
      </c>
      <c r="I2490">
        <v>23</v>
      </c>
      <c r="J2490">
        <v>0</v>
      </c>
      <c r="K2490" t="str">
        <f t="shared" si="76"/>
        <v>Young</v>
      </c>
      <c r="L2490" t="str">
        <f t="shared" si="77"/>
        <v>Overweight</v>
      </c>
    </row>
    <row r="2491" spans="1:12" x14ac:dyDescent="0.2">
      <c r="A2491">
        <v>2490</v>
      </c>
      <c r="B2491">
        <v>1</v>
      </c>
      <c r="C2491">
        <v>128</v>
      </c>
      <c r="D2491">
        <v>82</v>
      </c>
      <c r="E2491">
        <v>17</v>
      </c>
      <c r="F2491">
        <v>183</v>
      </c>
      <c r="G2491">
        <v>27.5</v>
      </c>
      <c r="H2491">
        <v>0.115</v>
      </c>
      <c r="I2491">
        <v>22</v>
      </c>
      <c r="J2491">
        <v>0</v>
      </c>
      <c r="K2491" t="str">
        <f t="shared" si="76"/>
        <v>Young</v>
      </c>
      <c r="L2491" t="str">
        <f t="shared" si="77"/>
        <v>Overweight</v>
      </c>
    </row>
    <row r="2492" spans="1:12" x14ac:dyDescent="0.2">
      <c r="A2492">
        <v>2491</v>
      </c>
      <c r="B2492">
        <v>10</v>
      </c>
      <c r="C2492">
        <v>92</v>
      </c>
      <c r="D2492">
        <v>62</v>
      </c>
      <c r="E2492">
        <v>0</v>
      </c>
      <c r="F2492">
        <v>0</v>
      </c>
      <c r="G2492">
        <v>25.9</v>
      </c>
      <c r="H2492">
        <v>0.16700000000000001</v>
      </c>
      <c r="I2492">
        <v>31</v>
      </c>
      <c r="J2492">
        <v>0</v>
      </c>
      <c r="K2492" t="str">
        <f t="shared" si="76"/>
        <v>Middle-Aged</v>
      </c>
      <c r="L2492" t="str">
        <f t="shared" si="77"/>
        <v>Overweight</v>
      </c>
    </row>
    <row r="2493" spans="1:12" x14ac:dyDescent="0.2">
      <c r="A2493">
        <v>2492</v>
      </c>
      <c r="B2493">
        <v>13</v>
      </c>
      <c r="C2493">
        <v>104</v>
      </c>
      <c r="D2493">
        <v>72</v>
      </c>
      <c r="E2493">
        <v>0</v>
      </c>
      <c r="F2493">
        <v>0</v>
      </c>
      <c r="G2493">
        <v>31.2</v>
      </c>
      <c r="H2493">
        <v>0.46500000000000002</v>
      </c>
      <c r="I2493">
        <v>38</v>
      </c>
      <c r="J2493">
        <v>1</v>
      </c>
      <c r="K2493" t="str">
        <f t="shared" si="76"/>
        <v>Middle-Aged</v>
      </c>
      <c r="L2493" t="str">
        <f t="shared" si="77"/>
        <v>Obese</v>
      </c>
    </row>
    <row r="2494" spans="1:12" x14ac:dyDescent="0.2">
      <c r="A2494">
        <v>2493</v>
      </c>
      <c r="B2494">
        <v>5</v>
      </c>
      <c r="C2494">
        <v>104</v>
      </c>
      <c r="D2494">
        <v>74</v>
      </c>
      <c r="E2494">
        <v>0</v>
      </c>
      <c r="F2494">
        <v>0</v>
      </c>
      <c r="G2494">
        <v>28.8</v>
      </c>
      <c r="H2494">
        <v>0.153</v>
      </c>
      <c r="I2494">
        <v>48</v>
      </c>
      <c r="J2494">
        <v>0</v>
      </c>
      <c r="K2494" t="str">
        <f t="shared" si="76"/>
        <v>Senior</v>
      </c>
      <c r="L2494" t="str">
        <f t="shared" si="77"/>
        <v>Overweight</v>
      </c>
    </row>
    <row r="2495" spans="1:12" x14ac:dyDescent="0.2">
      <c r="A2495">
        <v>2494</v>
      </c>
      <c r="B2495">
        <v>2</v>
      </c>
      <c r="C2495">
        <v>94</v>
      </c>
      <c r="D2495">
        <v>76</v>
      </c>
      <c r="E2495">
        <v>18</v>
      </c>
      <c r="F2495">
        <v>66</v>
      </c>
      <c r="G2495">
        <v>31.6</v>
      </c>
      <c r="H2495">
        <v>0.64900000000000002</v>
      </c>
      <c r="I2495">
        <v>23</v>
      </c>
      <c r="J2495">
        <v>0</v>
      </c>
      <c r="K2495" t="str">
        <f t="shared" si="76"/>
        <v>Young</v>
      </c>
      <c r="L2495" t="str">
        <f t="shared" si="77"/>
        <v>Obese</v>
      </c>
    </row>
    <row r="2496" spans="1:12" x14ac:dyDescent="0.2">
      <c r="A2496">
        <v>2495</v>
      </c>
      <c r="B2496">
        <v>7</v>
      </c>
      <c r="C2496">
        <v>97</v>
      </c>
      <c r="D2496">
        <v>76</v>
      </c>
      <c r="E2496">
        <v>32</v>
      </c>
      <c r="F2496">
        <v>91</v>
      </c>
      <c r="G2496">
        <v>40.9</v>
      </c>
      <c r="H2496">
        <v>0.871</v>
      </c>
      <c r="I2496">
        <v>32</v>
      </c>
      <c r="J2496">
        <v>1</v>
      </c>
      <c r="K2496" t="str">
        <f t="shared" si="76"/>
        <v>Middle-Aged</v>
      </c>
      <c r="L2496" t="str">
        <f t="shared" si="77"/>
        <v>Obese</v>
      </c>
    </row>
    <row r="2497" spans="1:12" x14ac:dyDescent="0.2">
      <c r="A2497">
        <v>2496</v>
      </c>
      <c r="B2497">
        <v>1</v>
      </c>
      <c r="C2497">
        <v>100</v>
      </c>
      <c r="D2497">
        <v>74</v>
      </c>
      <c r="E2497">
        <v>12</v>
      </c>
      <c r="F2497">
        <v>46</v>
      </c>
      <c r="G2497">
        <v>19.5</v>
      </c>
      <c r="H2497">
        <v>0.14899999999999999</v>
      </c>
      <c r="I2497">
        <v>28</v>
      </c>
      <c r="J2497">
        <v>0</v>
      </c>
      <c r="K2497" t="str">
        <f t="shared" si="76"/>
        <v>Young</v>
      </c>
      <c r="L2497" t="str">
        <f t="shared" si="77"/>
        <v>Normal</v>
      </c>
    </row>
    <row r="2498" spans="1:12" x14ac:dyDescent="0.2">
      <c r="A2498">
        <v>2497</v>
      </c>
      <c r="B2498">
        <v>0</v>
      </c>
      <c r="C2498">
        <v>102</v>
      </c>
      <c r="D2498">
        <v>86</v>
      </c>
      <c r="E2498">
        <v>17</v>
      </c>
      <c r="F2498">
        <v>105</v>
      </c>
      <c r="G2498">
        <v>29.3</v>
      </c>
      <c r="H2498">
        <v>0.69499999999999995</v>
      </c>
      <c r="I2498">
        <v>27</v>
      </c>
      <c r="J2498">
        <v>0</v>
      </c>
      <c r="K2498" t="str">
        <f t="shared" si="76"/>
        <v>Young</v>
      </c>
      <c r="L2498" t="str">
        <f t="shared" si="77"/>
        <v>Overweight</v>
      </c>
    </row>
    <row r="2499" spans="1:12" x14ac:dyDescent="0.2">
      <c r="A2499">
        <v>2498</v>
      </c>
      <c r="B2499">
        <v>4</v>
      </c>
      <c r="C2499">
        <v>128</v>
      </c>
      <c r="D2499">
        <v>70</v>
      </c>
      <c r="E2499">
        <v>0</v>
      </c>
      <c r="F2499">
        <v>0</v>
      </c>
      <c r="G2499">
        <v>34.299999999999997</v>
      </c>
      <c r="H2499">
        <v>0.30299999999999999</v>
      </c>
      <c r="I2499">
        <v>24</v>
      </c>
      <c r="J2499">
        <v>0</v>
      </c>
      <c r="K2499" t="str">
        <f t="shared" ref="K2499:K2562" si="78">IF(I2499&lt;30, "Young", IF( I2499&lt;45, "Middle-Aged", "Senior"))</f>
        <v>Young</v>
      </c>
      <c r="L2499" t="str">
        <f t="shared" ref="L2499:L2562" si="79">IF(G2499&lt;18.5, "Underweight", IF(G2499&lt;25, "Normal", IF(G2499&lt;30, "Overweight", "Obese")))</f>
        <v>Obese</v>
      </c>
    </row>
    <row r="2500" spans="1:12" x14ac:dyDescent="0.2">
      <c r="A2500">
        <v>2499</v>
      </c>
      <c r="B2500">
        <v>6</v>
      </c>
      <c r="C2500">
        <v>147</v>
      </c>
      <c r="D2500">
        <v>80</v>
      </c>
      <c r="E2500">
        <v>0</v>
      </c>
      <c r="F2500">
        <v>0</v>
      </c>
      <c r="G2500">
        <v>29.5</v>
      </c>
      <c r="H2500">
        <v>0.17799999999999999</v>
      </c>
      <c r="I2500">
        <v>50</v>
      </c>
      <c r="J2500">
        <v>1</v>
      </c>
      <c r="K2500" t="str">
        <f t="shared" si="78"/>
        <v>Senior</v>
      </c>
      <c r="L2500" t="str">
        <f t="shared" si="79"/>
        <v>Overweight</v>
      </c>
    </row>
    <row r="2501" spans="1:12" x14ac:dyDescent="0.2">
      <c r="A2501">
        <v>2500</v>
      </c>
      <c r="B2501">
        <v>4</v>
      </c>
      <c r="C2501">
        <v>90</v>
      </c>
      <c r="D2501">
        <v>121</v>
      </c>
      <c r="E2501">
        <v>0</v>
      </c>
      <c r="F2501">
        <v>0</v>
      </c>
      <c r="G2501">
        <v>28</v>
      </c>
      <c r="H2501">
        <v>0.61</v>
      </c>
      <c r="I2501">
        <v>31</v>
      </c>
      <c r="J2501">
        <v>0</v>
      </c>
      <c r="K2501" t="str">
        <f t="shared" si="78"/>
        <v>Middle-Aged</v>
      </c>
      <c r="L2501" t="str">
        <f t="shared" si="79"/>
        <v>Overweight</v>
      </c>
    </row>
    <row r="2502" spans="1:12" x14ac:dyDescent="0.2">
      <c r="A2502">
        <v>2501</v>
      </c>
      <c r="B2502">
        <v>3</v>
      </c>
      <c r="C2502">
        <v>103</v>
      </c>
      <c r="D2502">
        <v>72</v>
      </c>
      <c r="E2502">
        <v>30</v>
      </c>
      <c r="F2502">
        <v>152</v>
      </c>
      <c r="G2502">
        <v>27.6</v>
      </c>
      <c r="H2502">
        <v>0.73</v>
      </c>
      <c r="I2502">
        <v>27</v>
      </c>
      <c r="J2502">
        <v>0</v>
      </c>
      <c r="K2502" t="str">
        <f t="shared" si="78"/>
        <v>Young</v>
      </c>
      <c r="L2502" t="str">
        <f t="shared" si="79"/>
        <v>Overweight</v>
      </c>
    </row>
    <row r="2503" spans="1:12" x14ac:dyDescent="0.2">
      <c r="A2503">
        <v>2502</v>
      </c>
      <c r="B2503">
        <v>2</v>
      </c>
      <c r="C2503">
        <v>157</v>
      </c>
      <c r="D2503">
        <v>74</v>
      </c>
      <c r="E2503">
        <v>35</v>
      </c>
      <c r="F2503">
        <v>440</v>
      </c>
      <c r="G2503">
        <v>39.4</v>
      </c>
      <c r="H2503">
        <v>0.13400000000000001</v>
      </c>
      <c r="I2503">
        <v>30</v>
      </c>
      <c r="J2503">
        <v>0</v>
      </c>
      <c r="K2503" t="str">
        <f t="shared" si="78"/>
        <v>Middle-Aged</v>
      </c>
      <c r="L2503" t="str">
        <f t="shared" si="79"/>
        <v>Obese</v>
      </c>
    </row>
    <row r="2504" spans="1:12" x14ac:dyDescent="0.2">
      <c r="A2504">
        <v>2503</v>
      </c>
      <c r="B2504">
        <v>1</v>
      </c>
      <c r="C2504">
        <v>167</v>
      </c>
      <c r="D2504">
        <v>74</v>
      </c>
      <c r="E2504">
        <v>17</v>
      </c>
      <c r="F2504">
        <v>144</v>
      </c>
      <c r="G2504">
        <v>23.4</v>
      </c>
      <c r="H2504">
        <v>0.44700000000000001</v>
      </c>
      <c r="I2504">
        <v>33</v>
      </c>
      <c r="J2504">
        <v>1</v>
      </c>
      <c r="K2504" t="str">
        <f t="shared" si="78"/>
        <v>Middle-Aged</v>
      </c>
      <c r="L2504" t="str">
        <f t="shared" si="79"/>
        <v>Normal</v>
      </c>
    </row>
    <row r="2505" spans="1:12" x14ac:dyDescent="0.2">
      <c r="A2505">
        <v>2504</v>
      </c>
      <c r="B2505">
        <v>0</v>
      </c>
      <c r="C2505">
        <v>179</v>
      </c>
      <c r="D2505">
        <v>50</v>
      </c>
      <c r="E2505">
        <v>36</v>
      </c>
      <c r="F2505">
        <v>159</v>
      </c>
      <c r="G2505">
        <v>37.799999999999997</v>
      </c>
      <c r="H2505">
        <v>0.45500000000000002</v>
      </c>
      <c r="I2505">
        <v>22</v>
      </c>
      <c r="J2505">
        <v>1</v>
      </c>
      <c r="K2505" t="str">
        <f t="shared" si="78"/>
        <v>Young</v>
      </c>
      <c r="L2505" t="str">
        <f t="shared" si="79"/>
        <v>Obese</v>
      </c>
    </row>
    <row r="2506" spans="1:12" x14ac:dyDescent="0.2">
      <c r="A2506">
        <v>2505</v>
      </c>
      <c r="B2506">
        <v>11</v>
      </c>
      <c r="C2506">
        <v>136</v>
      </c>
      <c r="D2506">
        <v>84</v>
      </c>
      <c r="E2506">
        <v>35</v>
      </c>
      <c r="F2506">
        <v>130</v>
      </c>
      <c r="G2506">
        <v>28.3</v>
      </c>
      <c r="H2506">
        <v>0.26</v>
      </c>
      <c r="I2506">
        <v>42</v>
      </c>
      <c r="J2506">
        <v>1</v>
      </c>
      <c r="K2506" t="str">
        <f t="shared" si="78"/>
        <v>Middle-Aged</v>
      </c>
      <c r="L2506" t="str">
        <f t="shared" si="79"/>
        <v>Overweight</v>
      </c>
    </row>
    <row r="2507" spans="1:12" x14ac:dyDescent="0.2">
      <c r="A2507">
        <v>2506</v>
      </c>
      <c r="B2507">
        <v>0</v>
      </c>
      <c r="C2507">
        <v>107</v>
      </c>
      <c r="D2507">
        <v>60</v>
      </c>
      <c r="E2507">
        <v>25</v>
      </c>
      <c r="F2507">
        <v>0</v>
      </c>
      <c r="G2507">
        <v>26.4</v>
      </c>
      <c r="H2507">
        <v>0.13300000000000001</v>
      </c>
      <c r="I2507">
        <v>23</v>
      </c>
      <c r="J2507">
        <v>0</v>
      </c>
      <c r="K2507" t="str">
        <f t="shared" si="78"/>
        <v>Young</v>
      </c>
      <c r="L2507" t="str">
        <f t="shared" si="79"/>
        <v>Overweight</v>
      </c>
    </row>
    <row r="2508" spans="1:12" x14ac:dyDescent="0.2">
      <c r="A2508">
        <v>2507</v>
      </c>
      <c r="B2508">
        <v>1</v>
      </c>
      <c r="C2508">
        <v>91</v>
      </c>
      <c r="D2508">
        <v>54</v>
      </c>
      <c r="E2508">
        <v>25</v>
      </c>
      <c r="F2508">
        <v>100</v>
      </c>
      <c r="G2508">
        <v>25.2</v>
      </c>
      <c r="H2508">
        <v>0.23400000000000001</v>
      </c>
      <c r="I2508">
        <v>23</v>
      </c>
      <c r="J2508">
        <v>0</v>
      </c>
      <c r="K2508" t="str">
        <f t="shared" si="78"/>
        <v>Young</v>
      </c>
      <c r="L2508" t="str">
        <f t="shared" si="79"/>
        <v>Overweight</v>
      </c>
    </row>
    <row r="2509" spans="1:12" x14ac:dyDescent="0.2">
      <c r="A2509">
        <v>2508</v>
      </c>
      <c r="B2509">
        <v>1</v>
      </c>
      <c r="C2509">
        <v>117</v>
      </c>
      <c r="D2509">
        <v>60</v>
      </c>
      <c r="E2509">
        <v>23</v>
      </c>
      <c r="F2509">
        <v>106</v>
      </c>
      <c r="G2509">
        <v>33.799999999999997</v>
      </c>
      <c r="H2509">
        <v>0.46600000000000003</v>
      </c>
      <c r="I2509">
        <v>27</v>
      </c>
      <c r="J2509">
        <v>0</v>
      </c>
      <c r="K2509" t="str">
        <f t="shared" si="78"/>
        <v>Young</v>
      </c>
      <c r="L2509" t="str">
        <f t="shared" si="79"/>
        <v>Obese</v>
      </c>
    </row>
    <row r="2510" spans="1:12" x14ac:dyDescent="0.2">
      <c r="A2510">
        <v>2509</v>
      </c>
      <c r="B2510">
        <v>5</v>
      </c>
      <c r="C2510">
        <v>123</v>
      </c>
      <c r="D2510">
        <v>74</v>
      </c>
      <c r="E2510">
        <v>40</v>
      </c>
      <c r="F2510">
        <v>77</v>
      </c>
      <c r="G2510">
        <v>34.1</v>
      </c>
      <c r="H2510">
        <v>0.26900000000000002</v>
      </c>
      <c r="I2510">
        <v>28</v>
      </c>
      <c r="J2510">
        <v>0</v>
      </c>
      <c r="K2510" t="str">
        <f t="shared" si="78"/>
        <v>Young</v>
      </c>
      <c r="L2510" t="str">
        <f t="shared" si="79"/>
        <v>Obese</v>
      </c>
    </row>
    <row r="2511" spans="1:12" x14ac:dyDescent="0.2">
      <c r="A2511">
        <v>2510</v>
      </c>
      <c r="B2511">
        <v>2</v>
      </c>
      <c r="C2511">
        <v>120</v>
      </c>
      <c r="D2511">
        <v>54</v>
      </c>
      <c r="E2511">
        <v>0</v>
      </c>
      <c r="F2511">
        <v>0</v>
      </c>
      <c r="G2511">
        <v>26.8</v>
      </c>
      <c r="H2511">
        <v>0.45500000000000002</v>
      </c>
      <c r="I2511">
        <v>27</v>
      </c>
      <c r="J2511">
        <v>0</v>
      </c>
      <c r="K2511" t="str">
        <f t="shared" si="78"/>
        <v>Young</v>
      </c>
      <c r="L2511" t="str">
        <f t="shared" si="79"/>
        <v>Overweight</v>
      </c>
    </row>
    <row r="2512" spans="1:12" x14ac:dyDescent="0.2">
      <c r="A2512">
        <v>2511</v>
      </c>
      <c r="B2512">
        <v>1</v>
      </c>
      <c r="C2512">
        <v>106</v>
      </c>
      <c r="D2512">
        <v>70</v>
      </c>
      <c r="E2512">
        <v>28</v>
      </c>
      <c r="F2512">
        <v>135</v>
      </c>
      <c r="G2512">
        <v>34.200000000000003</v>
      </c>
      <c r="H2512">
        <v>0.14199999999999999</v>
      </c>
      <c r="I2512">
        <v>22</v>
      </c>
      <c r="J2512">
        <v>0</v>
      </c>
      <c r="K2512" t="str">
        <f t="shared" si="78"/>
        <v>Young</v>
      </c>
      <c r="L2512" t="str">
        <f t="shared" si="79"/>
        <v>Obese</v>
      </c>
    </row>
    <row r="2513" spans="1:12" x14ac:dyDescent="0.2">
      <c r="A2513">
        <v>2512</v>
      </c>
      <c r="B2513">
        <v>2</v>
      </c>
      <c r="C2513">
        <v>155</v>
      </c>
      <c r="D2513">
        <v>52</v>
      </c>
      <c r="E2513">
        <v>27</v>
      </c>
      <c r="F2513">
        <v>540</v>
      </c>
      <c r="G2513">
        <v>38.700000000000003</v>
      </c>
      <c r="H2513">
        <v>0.24</v>
      </c>
      <c r="I2513">
        <v>25</v>
      </c>
      <c r="J2513">
        <v>1</v>
      </c>
      <c r="K2513" t="str">
        <f t="shared" si="78"/>
        <v>Young</v>
      </c>
      <c r="L2513" t="str">
        <f t="shared" si="79"/>
        <v>Obese</v>
      </c>
    </row>
    <row r="2514" spans="1:12" x14ac:dyDescent="0.2">
      <c r="A2514">
        <v>2513</v>
      </c>
      <c r="B2514">
        <v>2</v>
      </c>
      <c r="C2514">
        <v>101</v>
      </c>
      <c r="D2514">
        <v>58</v>
      </c>
      <c r="E2514">
        <v>35</v>
      </c>
      <c r="F2514">
        <v>90</v>
      </c>
      <c r="G2514">
        <v>21.8</v>
      </c>
      <c r="H2514">
        <v>0.155</v>
      </c>
      <c r="I2514">
        <v>22</v>
      </c>
      <c r="J2514">
        <v>0</v>
      </c>
      <c r="K2514" t="str">
        <f t="shared" si="78"/>
        <v>Young</v>
      </c>
      <c r="L2514" t="str">
        <f t="shared" si="79"/>
        <v>Normal</v>
      </c>
    </row>
    <row r="2515" spans="1:12" x14ac:dyDescent="0.2">
      <c r="A2515">
        <v>2514</v>
      </c>
      <c r="B2515">
        <v>1</v>
      </c>
      <c r="C2515">
        <v>120</v>
      </c>
      <c r="D2515">
        <v>80</v>
      </c>
      <c r="E2515">
        <v>48</v>
      </c>
      <c r="F2515">
        <v>200</v>
      </c>
      <c r="G2515">
        <v>38.9</v>
      </c>
      <c r="H2515">
        <v>1.1619999999999999</v>
      </c>
      <c r="I2515">
        <v>41</v>
      </c>
      <c r="J2515">
        <v>0</v>
      </c>
      <c r="K2515" t="str">
        <f t="shared" si="78"/>
        <v>Middle-Aged</v>
      </c>
      <c r="L2515" t="str">
        <f t="shared" si="79"/>
        <v>Obese</v>
      </c>
    </row>
    <row r="2516" spans="1:12" x14ac:dyDescent="0.2">
      <c r="A2516">
        <v>2515</v>
      </c>
      <c r="B2516">
        <v>11</v>
      </c>
      <c r="C2516">
        <v>127</v>
      </c>
      <c r="D2516">
        <v>106</v>
      </c>
      <c r="E2516">
        <v>0</v>
      </c>
      <c r="F2516">
        <v>0</v>
      </c>
      <c r="G2516">
        <v>39</v>
      </c>
      <c r="H2516">
        <v>0.19</v>
      </c>
      <c r="I2516">
        <v>51</v>
      </c>
      <c r="J2516">
        <v>0</v>
      </c>
      <c r="K2516" t="str">
        <f t="shared" si="78"/>
        <v>Senior</v>
      </c>
      <c r="L2516" t="str">
        <f t="shared" si="79"/>
        <v>Obese</v>
      </c>
    </row>
    <row r="2517" spans="1:12" x14ac:dyDescent="0.2">
      <c r="A2517">
        <v>2516</v>
      </c>
      <c r="B2517">
        <v>3</v>
      </c>
      <c r="C2517">
        <v>80</v>
      </c>
      <c r="D2517">
        <v>82</v>
      </c>
      <c r="E2517">
        <v>31</v>
      </c>
      <c r="F2517">
        <v>70</v>
      </c>
      <c r="G2517">
        <v>34.200000000000003</v>
      </c>
      <c r="H2517">
        <v>1.292</v>
      </c>
      <c r="I2517">
        <v>27</v>
      </c>
      <c r="J2517">
        <v>1</v>
      </c>
      <c r="K2517" t="str">
        <f t="shared" si="78"/>
        <v>Young</v>
      </c>
      <c r="L2517" t="str">
        <f t="shared" si="79"/>
        <v>Obese</v>
      </c>
    </row>
    <row r="2518" spans="1:12" x14ac:dyDescent="0.2">
      <c r="A2518">
        <v>2517</v>
      </c>
      <c r="B2518">
        <v>10</v>
      </c>
      <c r="C2518">
        <v>162</v>
      </c>
      <c r="D2518">
        <v>84</v>
      </c>
      <c r="E2518">
        <v>0</v>
      </c>
      <c r="F2518">
        <v>0</v>
      </c>
      <c r="G2518">
        <v>27.7</v>
      </c>
      <c r="H2518">
        <v>0.182</v>
      </c>
      <c r="I2518">
        <v>54</v>
      </c>
      <c r="J2518">
        <v>0</v>
      </c>
      <c r="K2518" t="str">
        <f t="shared" si="78"/>
        <v>Senior</v>
      </c>
      <c r="L2518" t="str">
        <f t="shared" si="79"/>
        <v>Overweight</v>
      </c>
    </row>
    <row r="2519" spans="1:12" x14ac:dyDescent="0.2">
      <c r="A2519">
        <v>2518</v>
      </c>
      <c r="B2519">
        <v>1</v>
      </c>
      <c r="C2519">
        <v>199</v>
      </c>
      <c r="D2519">
        <v>76</v>
      </c>
      <c r="E2519">
        <v>43</v>
      </c>
      <c r="F2519">
        <v>0</v>
      </c>
      <c r="G2519">
        <v>42.9</v>
      </c>
      <c r="H2519">
        <v>1.3939999999999999</v>
      </c>
      <c r="I2519">
        <v>22</v>
      </c>
      <c r="J2519">
        <v>1</v>
      </c>
      <c r="K2519" t="str">
        <f t="shared" si="78"/>
        <v>Young</v>
      </c>
      <c r="L2519" t="str">
        <f t="shared" si="79"/>
        <v>Obese</v>
      </c>
    </row>
    <row r="2520" spans="1:12" x14ac:dyDescent="0.2">
      <c r="A2520">
        <v>2519</v>
      </c>
      <c r="B2520">
        <v>8</v>
      </c>
      <c r="C2520">
        <v>167</v>
      </c>
      <c r="D2520">
        <v>106</v>
      </c>
      <c r="E2520">
        <v>46</v>
      </c>
      <c r="F2520">
        <v>231</v>
      </c>
      <c r="G2520">
        <v>37.6</v>
      </c>
      <c r="H2520">
        <v>0.16500000000000001</v>
      </c>
      <c r="I2520">
        <v>43</v>
      </c>
      <c r="J2520">
        <v>1</v>
      </c>
      <c r="K2520" t="str">
        <f t="shared" si="78"/>
        <v>Middle-Aged</v>
      </c>
      <c r="L2520" t="str">
        <f t="shared" si="79"/>
        <v>Obese</v>
      </c>
    </row>
    <row r="2521" spans="1:12" x14ac:dyDescent="0.2">
      <c r="A2521">
        <v>2520</v>
      </c>
      <c r="B2521">
        <v>9</v>
      </c>
      <c r="C2521">
        <v>145</v>
      </c>
      <c r="D2521">
        <v>80</v>
      </c>
      <c r="E2521">
        <v>46</v>
      </c>
      <c r="F2521">
        <v>130</v>
      </c>
      <c r="G2521">
        <v>37.9</v>
      </c>
      <c r="H2521">
        <v>0.63700000000000001</v>
      </c>
      <c r="I2521">
        <v>40</v>
      </c>
      <c r="J2521">
        <v>1</v>
      </c>
      <c r="K2521" t="str">
        <f t="shared" si="78"/>
        <v>Middle-Aged</v>
      </c>
      <c r="L2521" t="str">
        <f t="shared" si="79"/>
        <v>Obese</v>
      </c>
    </row>
    <row r="2522" spans="1:12" x14ac:dyDescent="0.2">
      <c r="A2522">
        <v>2521</v>
      </c>
      <c r="B2522">
        <v>6</v>
      </c>
      <c r="C2522">
        <v>115</v>
      </c>
      <c r="D2522">
        <v>60</v>
      </c>
      <c r="E2522">
        <v>39</v>
      </c>
      <c r="F2522">
        <v>0</v>
      </c>
      <c r="G2522">
        <v>33.700000000000003</v>
      </c>
      <c r="H2522">
        <v>0.245</v>
      </c>
      <c r="I2522">
        <v>40</v>
      </c>
      <c r="J2522">
        <v>1</v>
      </c>
      <c r="K2522" t="str">
        <f t="shared" si="78"/>
        <v>Middle-Aged</v>
      </c>
      <c r="L2522" t="str">
        <f t="shared" si="79"/>
        <v>Obese</v>
      </c>
    </row>
    <row r="2523" spans="1:12" x14ac:dyDescent="0.2">
      <c r="A2523">
        <v>2522</v>
      </c>
      <c r="B2523">
        <v>1</v>
      </c>
      <c r="C2523">
        <v>112</v>
      </c>
      <c r="D2523">
        <v>80</v>
      </c>
      <c r="E2523">
        <v>45</v>
      </c>
      <c r="F2523">
        <v>132</v>
      </c>
      <c r="G2523">
        <v>34.799999999999997</v>
      </c>
      <c r="H2523">
        <v>0.217</v>
      </c>
      <c r="I2523">
        <v>24</v>
      </c>
      <c r="J2523">
        <v>0</v>
      </c>
      <c r="K2523" t="str">
        <f t="shared" si="78"/>
        <v>Young</v>
      </c>
      <c r="L2523" t="str">
        <f t="shared" si="79"/>
        <v>Obese</v>
      </c>
    </row>
    <row r="2524" spans="1:12" x14ac:dyDescent="0.2">
      <c r="A2524">
        <v>2523</v>
      </c>
      <c r="B2524">
        <v>4</v>
      </c>
      <c r="C2524">
        <v>145</v>
      </c>
      <c r="D2524">
        <v>82</v>
      </c>
      <c r="E2524">
        <v>18</v>
      </c>
      <c r="F2524">
        <v>0</v>
      </c>
      <c r="G2524">
        <v>32.5</v>
      </c>
      <c r="H2524">
        <v>0.23499999999999999</v>
      </c>
      <c r="I2524">
        <v>70</v>
      </c>
      <c r="J2524">
        <v>1</v>
      </c>
      <c r="K2524" t="str">
        <f t="shared" si="78"/>
        <v>Senior</v>
      </c>
      <c r="L2524" t="str">
        <f t="shared" si="79"/>
        <v>Obese</v>
      </c>
    </row>
    <row r="2525" spans="1:12" x14ac:dyDescent="0.2">
      <c r="A2525">
        <v>2524</v>
      </c>
      <c r="B2525">
        <v>10</v>
      </c>
      <c r="C2525">
        <v>111</v>
      </c>
      <c r="D2525">
        <v>70</v>
      </c>
      <c r="E2525">
        <v>27</v>
      </c>
      <c r="F2525">
        <v>0</v>
      </c>
      <c r="G2525">
        <v>27.5</v>
      </c>
      <c r="H2525">
        <v>0.14099999999999999</v>
      </c>
      <c r="I2525">
        <v>40</v>
      </c>
      <c r="J2525">
        <v>1</v>
      </c>
      <c r="K2525" t="str">
        <f t="shared" si="78"/>
        <v>Middle-Aged</v>
      </c>
      <c r="L2525" t="str">
        <f t="shared" si="79"/>
        <v>Overweight</v>
      </c>
    </row>
    <row r="2526" spans="1:12" x14ac:dyDescent="0.2">
      <c r="A2526">
        <v>2525</v>
      </c>
      <c r="B2526">
        <v>6</v>
      </c>
      <c r="C2526">
        <v>98</v>
      </c>
      <c r="D2526">
        <v>58</v>
      </c>
      <c r="E2526">
        <v>33</v>
      </c>
      <c r="F2526">
        <v>190</v>
      </c>
      <c r="G2526">
        <v>34</v>
      </c>
      <c r="H2526">
        <v>0.43</v>
      </c>
      <c r="I2526">
        <v>43</v>
      </c>
      <c r="J2526">
        <v>0</v>
      </c>
      <c r="K2526" t="str">
        <f t="shared" si="78"/>
        <v>Middle-Aged</v>
      </c>
      <c r="L2526" t="str">
        <f t="shared" si="79"/>
        <v>Obese</v>
      </c>
    </row>
    <row r="2527" spans="1:12" x14ac:dyDescent="0.2">
      <c r="A2527">
        <v>2526</v>
      </c>
      <c r="B2527">
        <v>9</v>
      </c>
      <c r="C2527">
        <v>154</v>
      </c>
      <c r="D2527">
        <v>78</v>
      </c>
      <c r="E2527">
        <v>30</v>
      </c>
      <c r="F2527">
        <v>100</v>
      </c>
      <c r="G2527">
        <v>30.9</v>
      </c>
      <c r="H2527">
        <v>0.16400000000000001</v>
      </c>
      <c r="I2527">
        <v>45</v>
      </c>
      <c r="J2527">
        <v>0</v>
      </c>
      <c r="K2527" t="str">
        <f t="shared" si="78"/>
        <v>Senior</v>
      </c>
      <c r="L2527" t="str">
        <f t="shared" si="79"/>
        <v>Obese</v>
      </c>
    </row>
    <row r="2528" spans="1:12" x14ac:dyDescent="0.2">
      <c r="A2528">
        <v>2527</v>
      </c>
      <c r="B2528">
        <v>6</v>
      </c>
      <c r="C2528">
        <v>165</v>
      </c>
      <c r="D2528">
        <v>68</v>
      </c>
      <c r="E2528">
        <v>26</v>
      </c>
      <c r="F2528">
        <v>168</v>
      </c>
      <c r="G2528">
        <v>33.6</v>
      </c>
      <c r="H2528">
        <v>0.63100000000000001</v>
      </c>
      <c r="I2528">
        <v>49</v>
      </c>
      <c r="J2528">
        <v>0</v>
      </c>
      <c r="K2528" t="str">
        <f t="shared" si="78"/>
        <v>Senior</v>
      </c>
      <c r="L2528" t="str">
        <f t="shared" si="79"/>
        <v>Obese</v>
      </c>
    </row>
    <row r="2529" spans="1:12" x14ac:dyDescent="0.2">
      <c r="A2529">
        <v>2528</v>
      </c>
      <c r="B2529">
        <v>1</v>
      </c>
      <c r="C2529">
        <v>99</v>
      </c>
      <c r="D2529">
        <v>58</v>
      </c>
      <c r="E2529">
        <v>10</v>
      </c>
      <c r="F2529">
        <v>0</v>
      </c>
      <c r="G2529">
        <v>25.4</v>
      </c>
      <c r="H2529">
        <v>0.55100000000000005</v>
      </c>
      <c r="I2529">
        <v>21</v>
      </c>
      <c r="J2529">
        <v>0</v>
      </c>
      <c r="K2529" t="str">
        <f t="shared" si="78"/>
        <v>Young</v>
      </c>
      <c r="L2529" t="str">
        <f t="shared" si="79"/>
        <v>Overweight</v>
      </c>
    </row>
    <row r="2530" spans="1:12" x14ac:dyDescent="0.2">
      <c r="A2530">
        <v>2529</v>
      </c>
      <c r="B2530">
        <v>10</v>
      </c>
      <c r="C2530">
        <v>68</v>
      </c>
      <c r="D2530">
        <v>106</v>
      </c>
      <c r="E2530">
        <v>23</v>
      </c>
      <c r="F2530">
        <v>49</v>
      </c>
      <c r="G2530">
        <v>35.5</v>
      </c>
      <c r="H2530">
        <v>0.28499999999999998</v>
      </c>
      <c r="I2530">
        <v>47</v>
      </c>
      <c r="J2530">
        <v>0</v>
      </c>
      <c r="K2530" t="str">
        <f t="shared" si="78"/>
        <v>Senior</v>
      </c>
      <c r="L2530" t="str">
        <f t="shared" si="79"/>
        <v>Obese</v>
      </c>
    </row>
    <row r="2531" spans="1:12" x14ac:dyDescent="0.2">
      <c r="A2531">
        <v>2530</v>
      </c>
      <c r="B2531">
        <v>3</v>
      </c>
      <c r="C2531">
        <v>123</v>
      </c>
      <c r="D2531">
        <v>100</v>
      </c>
      <c r="E2531">
        <v>35</v>
      </c>
      <c r="F2531">
        <v>240</v>
      </c>
      <c r="G2531">
        <v>57.3</v>
      </c>
      <c r="H2531">
        <v>0.88</v>
      </c>
      <c r="I2531">
        <v>22</v>
      </c>
      <c r="J2531">
        <v>0</v>
      </c>
      <c r="K2531" t="str">
        <f t="shared" si="78"/>
        <v>Young</v>
      </c>
      <c r="L2531" t="str">
        <f t="shared" si="79"/>
        <v>Obese</v>
      </c>
    </row>
    <row r="2532" spans="1:12" x14ac:dyDescent="0.2">
      <c r="A2532">
        <v>2531</v>
      </c>
      <c r="B2532">
        <v>8</v>
      </c>
      <c r="C2532">
        <v>91</v>
      </c>
      <c r="D2532">
        <v>82</v>
      </c>
      <c r="E2532">
        <v>0</v>
      </c>
      <c r="F2532">
        <v>0</v>
      </c>
      <c r="G2532">
        <v>35.6</v>
      </c>
      <c r="H2532">
        <v>0.58699999999999997</v>
      </c>
      <c r="I2532">
        <v>68</v>
      </c>
      <c r="J2532">
        <v>0</v>
      </c>
      <c r="K2532" t="str">
        <f t="shared" si="78"/>
        <v>Senior</v>
      </c>
      <c r="L2532" t="str">
        <f t="shared" si="79"/>
        <v>Obese</v>
      </c>
    </row>
    <row r="2533" spans="1:12" x14ac:dyDescent="0.2">
      <c r="A2533">
        <v>2532</v>
      </c>
      <c r="B2533">
        <v>6</v>
      </c>
      <c r="C2533">
        <v>195</v>
      </c>
      <c r="D2533">
        <v>70</v>
      </c>
      <c r="E2533">
        <v>0</v>
      </c>
      <c r="F2533">
        <v>0</v>
      </c>
      <c r="G2533">
        <v>30.9</v>
      </c>
      <c r="H2533">
        <v>0.32800000000000001</v>
      </c>
      <c r="I2533">
        <v>31</v>
      </c>
      <c r="J2533">
        <v>1</v>
      </c>
      <c r="K2533" t="str">
        <f t="shared" si="78"/>
        <v>Middle-Aged</v>
      </c>
      <c r="L2533" t="str">
        <f t="shared" si="79"/>
        <v>Obese</v>
      </c>
    </row>
    <row r="2534" spans="1:12" x14ac:dyDescent="0.2">
      <c r="A2534">
        <v>2533</v>
      </c>
      <c r="B2534">
        <v>9</v>
      </c>
      <c r="C2534">
        <v>156</v>
      </c>
      <c r="D2534">
        <v>86</v>
      </c>
      <c r="E2534">
        <v>0</v>
      </c>
      <c r="F2534">
        <v>0</v>
      </c>
      <c r="G2534">
        <v>24.8</v>
      </c>
      <c r="H2534">
        <v>0.23</v>
      </c>
      <c r="I2534">
        <v>53</v>
      </c>
      <c r="J2534">
        <v>1</v>
      </c>
      <c r="K2534" t="str">
        <f t="shared" si="78"/>
        <v>Senior</v>
      </c>
      <c r="L2534" t="str">
        <f t="shared" si="79"/>
        <v>Normal</v>
      </c>
    </row>
    <row r="2535" spans="1:12" x14ac:dyDescent="0.2">
      <c r="A2535">
        <v>2534</v>
      </c>
      <c r="B2535">
        <v>0</v>
      </c>
      <c r="C2535">
        <v>93</v>
      </c>
      <c r="D2535">
        <v>60</v>
      </c>
      <c r="E2535">
        <v>0</v>
      </c>
      <c r="F2535">
        <v>0</v>
      </c>
      <c r="G2535">
        <v>35.299999999999997</v>
      </c>
      <c r="H2535">
        <v>0.26300000000000001</v>
      </c>
      <c r="I2535">
        <v>25</v>
      </c>
      <c r="J2535">
        <v>0</v>
      </c>
      <c r="K2535" t="str">
        <f t="shared" si="78"/>
        <v>Young</v>
      </c>
      <c r="L2535" t="str">
        <f t="shared" si="79"/>
        <v>Obese</v>
      </c>
    </row>
    <row r="2536" spans="1:12" x14ac:dyDescent="0.2">
      <c r="A2536">
        <v>2535</v>
      </c>
      <c r="B2536">
        <v>3</v>
      </c>
      <c r="C2536">
        <v>121</v>
      </c>
      <c r="D2536">
        <v>52</v>
      </c>
      <c r="E2536">
        <v>0</v>
      </c>
      <c r="F2536">
        <v>0</v>
      </c>
      <c r="G2536">
        <v>36</v>
      </c>
      <c r="H2536">
        <v>0.127</v>
      </c>
      <c r="I2536">
        <v>25</v>
      </c>
      <c r="J2536">
        <v>1</v>
      </c>
      <c r="K2536" t="str">
        <f t="shared" si="78"/>
        <v>Young</v>
      </c>
      <c r="L2536" t="str">
        <f t="shared" si="79"/>
        <v>Obese</v>
      </c>
    </row>
    <row r="2537" spans="1:12" x14ac:dyDescent="0.2">
      <c r="A2537">
        <v>2536</v>
      </c>
      <c r="B2537">
        <v>2</v>
      </c>
      <c r="C2537">
        <v>101</v>
      </c>
      <c r="D2537">
        <v>58</v>
      </c>
      <c r="E2537">
        <v>17</v>
      </c>
      <c r="F2537">
        <v>265</v>
      </c>
      <c r="G2537">
        <v>24.2</v>
      </c>
      <c r="H2537">
        <v>0.61399999999999999</v>
      </c>
      <c r="I2537">
        <v>23</v>
      </c>
      <c r="J2537">
        <v>0</v>
      </c>
      <c r="K2537" t="str">
        <f t="shared" si="78"/>
        <v>Young</v>
      </c>
      <c r="L2537" t="str">
        <f t="shared" si="79"/>
        <v>Normal</v>
      </c>
    </row>
    <row r="2538" spans="1:12" x14ac:dyDescent="0.2">
      <c r="A2538">
        <v>2537</v>
      </c>
      <c r="B2538">
        <v>2</v>
      </c>
      <c r="C2538">
        <v>56</v>
      </c>
      <c r="D2538">
        <v>56</v>
      </c>
      <c r="E2538">
        <v>28</v>
      </c>
      <c r="F2538">
        <v>45</v>
      </c>
      <c r="G2538">
        <v>24.2</v>
      </c>
      <c r="H2538">
        <v>0.33200000000000002</v>
      </c>
      <c r="I2538">
        <v>22</v>
      </c>
      <c r="J2538">
        <v>0</v>
      </c>
      <c r="K2538" t="str">
        <f t="shared" si="78"/>
        <v>Young</v>
      </c>
      <c r="L2538" t="str">
        <f t="shared" si="79"/>
        <v>Normal</v>
      </c>
    </row>
    <row r="2539" spans="1:12" x14ac:dyDescent="0.2">
      <c r="A2539">
        <v>2538</v>
      </c>
      <c r="B2539">
        <v>0</v>
      </c>
      <c r="C2539">
        <v>162</v>
      </c>
      <c r="D2539">
        <v>76</v>
      </c>
      <c r="E2539">
        <v>36</v>
      </c>
      <c r="F2539">
        <v>0</v>
      </c>
      <c r="G2539">
        <v>49.6</v>
      </c>
      <c r="H2539">
        <v>0.36399999999999999</v>
      </c>
      <c r="I2539">
        <v>26</v>
      </c>
      <c r="J2539">
        <v>1</v>
      </c>
      <c r="K2539" t="str">
        <f t="shared" si="78"/>
        <v>Young</v>
      </c>
      <c r="L2539" t="str">
        <f t="shared" si="79"/>
        <v>Obese</v>
      </c>
    </row>
    <row r="2540" spans="1:12" x14ac:dyDescent="0.2">
      <c r="A2540">
        <v>2539</v>
      </c>
      <c r="B2540">
        <v>0</v>
      </c>
      <c r="C2540">
        <v>95</v>
      </c>
      <c r="D2540">
        <v>64</v>
      </c>
      <c r="E2540">
        <v>39</v>
      </c>
      <c r="F2540">
        <v>105</v>
      </c>
      <c r="G2540">
        <v>44.6</v>
      </c>
      <c r="H2540">
        <v>0.36599999999999999</v>
      </c>
      <c r="I2540">
        <v>22</v>
      </c>
      <c r="J2540">
        <v>0</v>
      </c>
      <c r="K2540" t="str">
        <f t="shared" si="78"/>
        <v>Young</v>
      </c>
      <c r="L2540" t="str">
        <f t="shared" si="79"/>
        <v>Obese</v>
      </c>
    </row>
    <row r="2541" spans="1:12" x14ac:dyDescent="0.2">
      <c r="A2541">
        <v>2540</v>
      </c>
      <c r="B2541">
        <v>4</v>
      </c>
      <c r="C2541">
        <v>125</v>
      </c>
      <c r="D2541">
        <v>80</v>
      </c>
      <c r="E2541">
        <v>0</v>
      </c>
      <c r="F2541">
        <v>0</v>
      </c>
      <c r="G2541">
        <v>32.299999999999997</v>
      </c>
      <c r="H2541">
        <v>0.53600000000000003</v>
      </c>
      <c r="I2541">
        <v>27</v>
      </c>
      <c r="J2541">
        <v>1</v>
      </c>
      <c r="K2541" t="str">
        <f t="shared" si="78"/>
        <v>Young</v>
      </c>
      <c r="L2541" t="str">
        <f t="shared" si="79"/>
        <v>Obese</v>
      </c>
    </row>
    <row r="2542" spans="1:12" x14ac:dyDescent="0.2">
      <c r="A2542">
        <v>2541</v>
      </c>
      <c r="B2542">
        <v>5</v>
      </c>
      <c r="C2542">
        <v>136</v>
      </c>
      <c r="D2542">
        <v>82</v>
      </c>
      <c r="E2542">
        <v>0</v>
      </c>
      <c r="F2542">
        <v>0</v>
      </c>
      <c r="G2542">
        <v>121</v>
      </c>
      <c r="H2542">
        <v>0.64</v>
      </c>
      <c r="I2542">
        <v>69</v>
      </c>
      <c r="J2542">
        <v>0</v>
      </c>
      <c r="K2542" t="str">
        <f t="shared" si="78"/>
        <v>Senior</v>
      </c>
      <c r="L2542" t="str">
        <f t="shared" si="79"/>
        <v>Obese</v>
      </c>
    </row>
    <row r="2543" spans="1:12" x14ac:dyDescent="0.2">
      <c r="A2543">
        <v>2542</v>
      </c>
      <c r="B2543">
        <v>2</v>
      </c>
      <c r="C2543">
        <v>129</v>
      </c>
      <c r="D2543">
        <v>74</v>
      </c>
      <c r="E2543">
        <v>26</v>
      </c>
      <c r="F2543">
        <v>205</v>
      </c>
      <c r="G2543">
        <v>33.200000000000003</v>
      </c>
      <c r="H2543">
        <v>0.59099999999999997</v>
      </c>
      <c r="I2543">
        <v>25</v>
      </c>
      <c r="J2543">
        <v>0</v>
      </c>
      <c r="K2543" t="str">
        <f t="shared" si="78"/>
        <v>Young</v>
      </c>
      <c r="L2543" t="str">
        <f t="shared" si="79"/>
        <v>Obese</v>
      </c>
    </row>
    <row r="2544" spans="1:12" x14ac:dyDescent="0.2">
      <c r="A2544">
        <v>2543</v>
      </c>
      <c r="B2544">
        <v>3</v>
      </c>
      <c r="C2544">
        <v>130</v>
      </c>
      <c r="D2544">
        <v>64</v>
      </c>
      <c r="E2544">
        <v>0</v>
      </c>
      <c r="F2544">
        <v>0</v>
      </c>
      <c r="G2544">
        <v>23.1</v>
      </c>
      <c r="H2544">
        <v>0.314</v>
      </c>
      <c r="I2544">
        <v>22</v>
      </c>
      <c r="J2544">
        <v>0</v>
      </c>
      <c r="K2544" t="str">
        <f t="shared" si="78"/>
        <v>Young</v>
      </c>
      <c r="L2544" t="str">
        <f t="shared" si="79"/>
        <v>Normal</v>
      </c>
    </row>
    <row r="2545" spans="1:12" x14ac:dyDescent="0.2">
      <c r="A2545">
        <v>2544</v>
      </c>
      <c r="B2545">
        <v>1</v>
      </c>
      <c r="C2545">
        <v>107</v>
      </c>
      <c r="D2545">
        <v>50</v>
      </c>
      <c r="E2545">
        <v>19</v>
      </c>
      <c r="F2545">
        <v>0</v>
      </c>
      <c r="G2545">
        <v>28.3</v>
      </c>
      <c r="H2545">
        <v>0.18099999999999999</v>
      </c>
      <c r="I2545">
        <v>29</v>
      </c>
      <c r="J2545">
        <v>0</v>
      </c>
      <c r="K2545" t="str">
        <f t="shared" si="78"/>
        <v>Young</v>
      </c>
      <c r="L2545" t="str">
        <f t="shared" si="79"/>
        <v>Overweight</v>
      </c>
    </row>
    <row r="2546" spans="1:12" x14ac:dyDescent="0.2">
      <c r="A2546">
        <v>2545</v>
      </c>
      <c r="B2546">
        <v>1</v>
      </c>
      <c r="C2546">
        <v>140</v>
      </c>
      <c r="D2546">
        <v>74</v>
      </c>
      <c r="E2546">
        <v>26</v>
      </c>
      <c r="F2546">
        <v>180</v>
      </c>
      <c r="G2546">
        <v>24.1</v>
      </c>
      <c r="H2546">
        <v>0.82799999999999996</v>
      </c>
      <c r="I2546">
        <v>23</v>
      </c>
      <c r="J2546">
        <v>0</v>
      </c>
      <c r="K2546" t="str">
        <f t="shared" si="78"/>
        <v>Young</v>
      </c>
      <c r="L2546" t="str">
        <f t="shared" si="79"/>
        <v>Normal</v>
      </c>
    </row>
    <row r="2547" spans="1:12" x14ac:dyDescent="0.2">
      <c r="A2547">
        <v>2546</v>
      </c>
      <c r="B2547">
        <v>1</v>
      </c>
      <c r="C2547">
        <v>144</v>
      </c>
      <c r="D2547">
        <v>82</v>
      </c>
      <c r="E2547">
        <v>46</v>
      </c>
      <c r="F2547">
        <v>180</v>
      </c>
      <c r="G2547">
        <v>46.1</v>
      </c>
      <c r="H2547">
        <v>0.33500000000000002</v>
      </c>
      <c r="I2547">
        <v>46</v>
      </c>
      <c r="J2547">
        <v>1</v>
      </c>
      <c r="K2547" t="str">
        <f t="shared" si="78"/>
        <v>Senior</v>
      </c>
      <c r="L2547" t="str">
        <f t="shared" si="79"/>
        <v>Obese</v>
      </c>
    </row>
    <row r="2548" spans="1:12" x14ac:dyDescent="0.2">
      <c r="A2548">
        <v>2547</v>
      </c>
      <c r="B2548">
        <v>8</v>
      </c>
      <c r="C2548">
        <v>107</v>
      </c>
      <c r="D2548">
        <v>80</v>
      </c>
      <c r="E2548">
        <v>0</v>
      </c>
      <c r="F2548">
        <v>0</v>
      </c>
      <c r="G2548">
        <v>24.6</v>
      </c>
      <c r="H2548">
        <v>0.85599999999999998</v>
      </c>
      <c r="I2548">
        <v>34</v>
      </c>
      <c r="J2548">
        <v>0</v>
      </c>
      <c r="K2548" t="str">
        <f t="shared" si="78"/>
        <v>Middle-Aged</v>
      </c>
      <c r="L2548" t="str">
        <f t="shared" si="79"/>
        <v>Normal</v>
      </c>
    </row>
    <row r="2549" spans="1:12" x14ac:dyDescent="0.2">
      <c r="A2549">
        <v>2548</v>
      </c>
      <c r="B2549">
        <v>13</v>
      </c>
      <c r="C2549">
        <v>158</v>
      </c>
      <c r="D2549">
        <v>114</v>
      </c>
      <c r="E2549">
        <v>0</v>
      </c>
      <c r="F2549">
        <v>0</v>
      </c>
      <c r="G2549">
        <v>42.3</v>
      </c>
      <c r="H2549">
        <v>0.25700000000000001</v>
      </c>
      <c r="I2549">
        <v>44</v>
      </c>
      <c r="J2549">
        <v>1</v>
      </c>
      <c r="K2549" t="str">
        <f t="shared" si="78"/>
        <v>Middle-Aged</v>
      </c>
      <c r="L2549" t="str">
        <f t="shared" si="79"/>
        <v>Obese</v>
      </c>
    </row>
    <row r="2550" spans="1:12" x14ac:dyDescent="0.2">
      <c r="A2550">
        <v>2549</v>
      </c>
      <c r="B2550">
        <v>2</v>
      </c>
      <c r="C2550">
        <v>121</v>
      </c>
      <c r="D2550">
        <v>70</v>
      </c>
      <c r="E2550">
        <v>32</v>
      </c>
      <c r="F2550">
        <v>95</v>
      </c>
      <c r="G2550">
        <v>39.1</v>
      </c>
      <c r="H2550">
        <v>0.88600000000000001</v>
      </c>
      <c r="I2550">
        <v>23</v>
      </c>
      <c r="J2550">
        <v>0</v>
      </c>
      <c r="K2550" t="str">
        <f t="shared" si="78"/>
        <v>Young</v>
      </c>
      <c r="L2550" t="str">
        <f t="shared" si="79"/>
        <v>Obese</v>
      </c>
    </row>
    <row r="2551" spans="1:12" x14ac:dyDescent="0.2">
      <c r="A2551">
        <v>2550</v>
      </c>
      <c r="B2551">
        <v>7</v>
      </c>
      <c r="C2551">
        <v>129</v>
      </c>
      <c r="D2551">
        <v>68</v>
      </c>
      <c r="E2551">
        <v>49</v>
      </c>
      <c r="F2551">
        <v>125</v>
      </c>
      <c r="G2551">
        <v>38.5</v>
      </c>
      <c r="H2551">
        <v>0.439</v>
      </c>
      <c r="I2551">
        <v>43</v>
      </c>
      <c r="J2551">
        <v>1</v>
      </c>
      <c r="K2551" t="str">
        <f t="shared" si="78"/>
        <v>Middle-Aged</v>
      </c>
      <c r="L2551" t="str">
        <f t="shared" si="79"/>
        <v>Obese</v>
      </c>
    </row>
    <row r="2552" spans="1:12" x14ac:dyDescent="0.2">
      <c r="A2552">
        <v>2551</v>
      </c>
      <c r="B2552">
        <v>2</v>
      </c>
      <c r="C2552">
        <v>90</v>
      </c>
      <c r="D2552">
        <v>60</v>
      </c>
      <c r="E2552">
        <v>0</v>
      </c>
      <c r="F2552">
        <v>0</v>
      </c>
      <c r="G2552">
        <v>23.5</v>
      </c>
      <c r="H2552">
        <v>0.191</v>
      </c>
      <c r="I2552">
        <v>25</v>
      </c>
      <c r="J2552">
        <v>0</v>
      </c>
      <c r="K2552" t="str">
        <f t="shared" si="78"/>
        <v>Young</v>
      </c>
      <c r="L2552" t="str">
        <f t="shared" si="79"/>
        <v>Normal</v>
      </c>
    </row>
    <row r="2553" spans="1:12" x14ac:dyDescent="0.2">
      <c r="A2553">
        <v>2552</v>
      </c>
      <c r="B2553">
        <v>7</v>
      </c>
      <c r="C2553">
        <v>142</v>
      </c>
      <c r="D2553">
        <v>90</v>
      </c>
      <c r="E2553">
        <v>24</v>
      </c>
      <c r="F2553">
        <v>480</v>
      </c>
      <c r="G2553">
        <v>30.4</v>
      </c>
      <c r="H2553">
        <v>0.128</v>
      </c>
      <c r="I2553">
        <v>43</v>
      </c>
      <c r="J2553">
        <v>1</v>
      </c>
      <c r="K2553" t="str">
        <f t="shared" si="78"/>
        <v>Middle-Aged</v>
      </c>
      <c r="L2553" t="str">
        <f t="shared" si="79"/>
        <v>Obese</v>
      </c>
    </row>
    <row r="2554" spans="1:12" x14ac:dyDescent="0.2">
      <c r="A2554">
        <v>2553</v>
      </c>
      <c r="B2554">
        <v>3</v>
      </c>
      <c r="C2554">
        <v>169</v>
      </c>
      <c r="D2554">
        <v>74</v>
      </c>
      <c r="E2554">
        <v>19</v>
      </c>
      <c r="F2554">
        <v>125</v>
      </c>
      <c r="G2554">
        <v>29.9</v>
      </c>
      <c r="H2554">
        <v>0.26800000000000002</v>
      </c>
      <c r="I2554">
        <v>31</v>
      </c>
      <c r="J2554">
        <v>1</v>
      </c>
      <c r="K2554" t="str">
        <f t="shared" si="78"/>
        <v>Middle-Aged</v>
      </c>
      <c r="L2554" t="str">
        <f t="shared" si="79"/>
        <v>Overweight</v>
      </c>
    </row>
    <row r="2555" spans="1:12" x14ac:dyDescent="0.2">
      <c r="A2555">
        <v>2554</v>
      </c>
      <c r="B2555">
        <v>0</v>
      </c>
      <c r="C2555">
        <v>99</v>
      </c>
      <c r="D2555">
        <v>121</v>
      </c>
      <c r="E2555">
        <v>0</v>
      </c>
      <c r="F2555">
        <v>0</v>
      </c>
      <c r="G2555">
        <v>25</v>
      </c>
      <c r="H2555">
        <v>0.253</v>
      </c>
      <c r="I2555">
        <v>22</v>
      </c>
      <c r="J2555">
        <v>0</v>
      </c>
      <c r="K2555" t="str">
        <f t="shared" si="78"/>
        <v>Young</v>
      </c>
      <c r="L2555" t="str">
        <f t="shared" si="79"/>
        <v>Overweight</v>
      </c>
    </row>
    <row r="2556" spans="1:12" x14ac:dyDescent="0.2">
      <c r="A2556">
        <v>2555</v>
      </c>
      <c r="B2556">
        <v>4</v>
      </c>
      <c r="C2556">
        <v>127</v>
      </c>
      <c r="D2556">
        <v>88</v>
      </c>
      <c r="E2556">
        <v>11</v>
      </c>
      <c r="F2556">
        <v>155</v>
      </c>
      <c r="G2556">
        <v>34.5</v>
      </c>
      <c r="H2556">
        <v>0.59799999999999998</v>
      </c>
      <c r="I2556">
        <v>28</v>
      </c>
      <c r="J2556">
        <v>0</v>
      </c>
      <c r="K2556" t="str">
        <f t="shared" si="78"/>
        <v>Young</v>
      </c>
      <c r="L2556" t="str">
        <f t="shared" si="79"/>
        <v>Obese</v>
      </c>
    </row>
    <row r="2557" spans="1:12" x14ac:dyDescent="0.2">
      <c r="A2557">
        <v>2556</v>
      </c>
      <c r="B2557">
        <v>4</v>
      </c>
      <c r="C2557">
        <v>118</v>
      </c>
      <c r="D2557">
        <v>70</v>
      </c>
      <c r="E2557">
        <v>0</v>
      </c>
      <c r="F2557">
        <v>0</v>
      </c>
      <c r="G2557">
        <v>44.5</v>
      </c>
      <c r="H2557">
        <v>0.90400000000000003</v>
      </c>
      <c r="I2557">
        <v>26</v>
      </c>
      <c r="J2557">
        <v>0</v>
      </c>
      <c r="K2557" t="str">
        <f t="shared" si="78"/>
        <v>Young</v>
      </c>
      <c r="L2557" t="str">
        <f t="shared" si="79"/>
        <v>Obese</v>
      </c>
    </row>
    <row r="2558" spans="1:12" x14ac:dyDescent="0.2">
      <c r="A2558">
        <v>2557</v>
      </c>
      <c r="B2558">
        <v>2</v>
      </c>
      <c r="C2558">
        <v>122</v>
      </c>
      <c r="D2558">
        <v>76</v>
      </c>
      <c r="E2558">
        <v>27</v>
      </c>
      <c r="F2558">
        <v>200</v>
      </c>
      <c r="G2558">
        <v>35.9</v>
      </c>
      <c r="H2558">
        <v>0.48299999999999998</v>
      </c>
      <c r="I2558">
        <v>26</v>
      </c>
      <c r="J2558">
        <v>0</v>
      </c>
      <c r="K2558" t="str">
        <f t="shared" si="78"/>
        <v>Young</v>
      </c>
      <c r="L2558" t="str">
        <f t="shared" si="79"/>
        <v>Obese</v>
      </c>
    </row>
    <row r="2559" spans="1:12" x14ac:dyDescent="0.2">
      <c r="A2559">
        <v>2558</v>
      </c>
      <c r="B2559">
        <v>6</v>
      </c>
      <c r="C2559">
        <v>125</v>
      </c>
      <c r="D2559">
        <v>78</v>
      </c>
      <c r="E2559">
        <v>31</v>
      </c>
      <c r="F2559">
        <v>0</v>
      </c>
      <c r="G2559">
        <v>27.6</v>
      </c>
      <c r="H2559">
        <v>0.56499999999999995</v>
      </c>
      <c r="I2559">
        <v>49</v>
      </c>
      <c r="J2559">
        <v>1</v>
      </c>
      <c r="K2559" t="str">
        <f t="shared" si="78"/>
        <v>Senior</v>
      </c>
      <c r="L2559" t="str">
        <f t="shared" si="79"/>
        <v>Overweight</v>
      </c>
    </row>
    <row r="2560" spans="1:12" x14ac:dyDescent="0.2">
      <c r="A2560">
        <v>2559</v>
      </c>
      <c r="B2560">
        <v>1</v>
      </c>
      <c r="C2560">
        <v>168</v>
      </c>
      <c r="D2560">
        <v>88</v>
      </c>
      <c r="E2560">
        <v>29</v>
      </c>
      <c r="F2560">
        <v>0</v>
      </c>
      <c r="G2560">
        <v>35</v>
      </c>
      <c r="H2560">
        <v>0.90500000000000003</v>
      </c>
      <c r="I2560">
        <v>52</v>
      </c>
      <c r="J2560">
        <v>1</v>
      </c>
      <c r="K2560" t="str">
        <f t="shared" si="78"/>
        <v>Senior</v>
      </c>
      <c r="L2560" t="str">
        <f t="shared" si="79"/>
        <v>Obese</v>
      </c>
    </row>
    <row r="2561" spans="1:12" x14ac:dyDescent="0.2">
      <c r="A2561">
        <v>2560</v>
      </c>
      <c r="B2561">
        <v>2</v>
      </c>
      <c r="C2561">
        <v>129</v>
      </c>
      <c r="D2561">
        <v>121</v>
      </c>
      <c r="E2561">
        <v>0</v>
      </c>
      <c r="F2561">
        <v>0</v>
      </c>
      <c r="G2561">
        <v>38.5</v>
      </c>
      <c r="H2561">
        <v>0.30399999999999999</v>
      </c>
      <c r="I2561">
        <v>41</v>
      </c>
      <c r="J2561">
        <v>0</v>
      </c>
      <c r="K2561" t="str">
        <f t="shared" si="78"/>
        <v>Middle-Aged</v>
      </c>
      <c r="L2561" t="str">
        <f t="shared" si="79"/>
        <v>Obese</v>
      </c>
    </row>
    <row r="2562" spans="1:12" x14ac:dyDescent="0.2">
      <c r="A2562">
        <v>2561</v>
      </c>
      <c r="B2562">
        <v>4</v>
      </c>
      <c r="C2562">
        <v>110</v>
      </c>
      <c r="D2562">
        <v>76</v>
      </c>
      <c r="E2562">
        <v>20</v>
      </c>
      <c r="F2562">
        <v>100</v>
      </c>
      <c r="G2562">
        <v>28.4</v>
      </c>
      <c r="H2562">
        <v>0.11799999999999999</v>
      </c>
      <c r="I2562">
        <v>27</v>
      </c>
      <c r="J2562">
        <v>0</v>
      </c>
      <c r="K2562" t="str">
        <f t="shared" si="78"/>
        <v>Young</v>
      </c>
      <c r="L2562" t="str">
        <f t="shared" si="79"/>
        <v>Overweight</v>
      </c>
    </row>
    <row r="2563" spans="1:12" x14ac:dyDescent="0.2">
      <c r="A2563">
        <v>2562</v>
      </c>
      <c r="B2563">
        <v>6</v>
      </c>
      <c r="C2563">
        <v>80</v>
      </c>
      <c r="D2563">
        <v>80</v>
      </c>
      <c r="E2563">
        <v>36</v>
      </c>
      <c r="F2563">
        <v>0</v>
      </c>
      <c r="G2563">
        <v>39.799999999999997</v>
      </c>
      <c r="H2563">
        <v>0.17699999999999999</v>
      </c>
      <c r="I2563">
        <v>28</v>
      </c>
      <c r="J2563">
        <v>0</v>
      </c>
      <c r="K2563" t="str">
        <f t="shared" ref="K2563:K2626" si="80">IF(I2563&lt;30, "Young", IF( I2563&lt;45, "Middle-Aged", "Senior"))</f>
        <v>Young</v>
      </c>
      <c r="L2563" t="str">
        <f t="shared" ref="L2563:L2626" si="81">IF(G2563&lt;18.5, "Underweight", IF(G2563&lt;25, "Normal", IF(G2563&lt;30, "Overweight", "Obese")))</f>
        <v>Obese</v>
      </c>
    </row>
    <row r="2564" spans="1:12" x14ac:dyDescent="0.2">
      <c r="A2564">
        <v>2563</v>
      </c>
      <c r="B2564">
        <v>10</v>
      </c>
      <c r="C2564">
        <v>115</v>
      </c>
      <c r="D2564">
        <v>121</v>
      </c>
      <c r="E2564">
        <v>0</v>
      </c>
      <c r="F2564">
        <v>0</v>
      </c>
      <c r="G2564">
        <v>121</v>
      </c>
      <c r="H2564">
        <v>0.26100000000000001</v>
      </c>
      <c r="I2564">
        <v>30</v>
      </c>
      <c r="J2564">
        <v>1</v>
      </c>
      <c r="K2564" t="str">
        <f t="shared" si="80"/>
        <v>Middle-Aged</v>
      </c>
      <c r="L2564" t="str">
        <f t="shared" si="81"/>
        <v>Obese</v>
      </c>
    </row>
    <row r="2565" spans="1:12" x14ac:dyDescent="0.2">
      <c r="A2565">
        <v>2564</v>
      </c>
      <c r="B2565">
        <v>2</v>
      </c>
      <c r="C2565">
        <v>127</v>
      </c>
      <c r="D2565">
        <v>46</v>
      </c>
      <c r="E2565">
        <v>21</v>
      </c>
      <c r="F2565">
        <v>335</v>
      </c>
      <c r="G2565">
        <v>34.4</v>
      </c>
      <c r="H2565">
        <v>0.17599999999999999</v>
      </c>
      <c r="I2565">
        <v>22</v>
      </c>
      <c r="J2565">
        <v>0</v>
      </c>
      <c r="K2565" t="str">
        <f t="shared" si="80"/>
        <v>Young</v>
      </c>
      <c r="L2565" t="str">
        <f t="shared" si="81"/>
        <v>Obese</v>
      </c>
    </row>
    <row r="2566" spans="1:12" x14ac:dyDescent="0.2">
      <c r="A2566">
        <v>2565</v>
      </c>
      <c r="B2566">
        <v>9</v>
      </c>
      <c r="C2566">
        <v>164</v>
      </c>
      <c r="D2566">
        <v>78</v>
      </c>
      <c r="E2566">
        <v>0</v>
      </c>
      <c r="F2566">
        <v>0</v>
      </c>
      <c r="G2566">
        <v>32.799999999999997</v>
      </c>
      <c r="H2566">
        <v>0.14799999999999999</v>
      </c>
      <c r="I2566">
        <v>45</v>
      </c>
      <c r="J2566">
        <v>1</v>
      </c>
      <c r="K2566" t="str">
        <f t="shared" si="80"/>
        <v>Senior</v>
      </c>
      <c r="L2566" t="str">
        <f t="shared" si="81"/>
        <v>Obese</v>
      </c>
    </row>
    <row r="2567" spans="1:12" x14ac:dyDescent="0.2">
      <c r="A2567">
        <v>2566</v>
      </c>
      <c r="B2567">
        <v>2</v>
      </c>
      <c r="C2567">
        <v>93</v>
      </c>
      <c r="D2567">
        <v>64</v>
      </c>
      <c r="E2567">
        <v>32</v>
      </c>
      <c r="F2567">
        <v>160</v>
      </c>
      <c r="G2567">
        <v>38</v>
      </c>
      <c r="H2567">
        <v>0.67400000000000004</v>
      </c>
      <c r="I2567">
        <v>23</v>
      </c>
      <c r="J2567">
        <v>1</v>
      </c>
      <c r="K2567" t="str">
        <f t="shared" si="80"/>
        <v>Young</v>
      </c>
      <c r="L2567" t="str">
        <f t="shared" si="81"/>
        <v>Obese</v>
      </c>
    </row>
    <row r="2568" spans="1:12" x14ac:dyDescent="0.2">
      <c r="A2568">
        <v>2567</v>
      </c>
      <c r="B2568">
        <v>3</v>
      </c>
      <c r="C2568">
        <v>158</v>
      </c>
      <c r="D2568">
        <v>64</v>
      </c>
      <c r="E2568">
        <v>13</v>
      </c>
      <c r="F2568">
        <v>387</v>
      </c>
      <c r="G2568">
        <v>31.2</v>
      </c>
      <c r="H2568">
        <v>0.29499999999999998</v>
      </c>
      <c r="I2568">
        <v>24</v>
      </c>
      <c r="J2568">
        <v>0</v>
      </c>
      <c r="K2568" t="str">
        <f t="shared" si="80"/>
        <v>Young</v>
      </c>
      <c r="L2568" t="str">
        <f t="shared" si="81"/>
        <v>Obese</v>
      </c>
    </row>
    <row r="2569" spans="1:12" x14ac:dyDescent="0.2">
      <c r="A2569">
        <v>2568</v>
      </c>
      <c r="B2569">
        <v>5</v>
      </c>
      <c r="C2569">
        <v>126</v>
      </c>
      <c r="D2569">
        <v>78</v>
      </c>
      <c r="E2569">
        <v>27</v>
      </c>
      <c r="F2569">
        <v>22</v>
      </c>
      <c r="G2569">
        <v>29.6</v>
      </c>
      <c r="H2569">
        <v>0.439</v>
      </c>
      <c r="I2569">
        <v>40</v>
      </c>
      <c r="J2569">
        <v>0</v>
      </c>
      <c r="K2569" t="str">
        <f t="shared" si="80"/>
        <v>Middle-Aged</v>
      </c>
      <c r="L2569" t="str">
        <f t="shared" si="81"/>
        <v>Overweight</v>
      </c>
    </row>
    <row r="2570" spans="1:12" x14ac:dyDescent="0.2">
      <c r="A2570">
        <v>2569</v>
      </c>
      <c r="B2570">
        <v>10</v>
      </c>
      <c r="C2570">
        <v>129</v>
      </c>
      <c r="D2570">
        <v>62</v>
      </c>
      <c r="E2570">
        <v>36</v>
      </c>
      <c r="F2570">
        <v>0</v>
      </c>
      <c r="G2570">
        <v>41.2</v>
      </c>
      <c r="H2570">
        <v>0.441</v>
      </c>
      <c r="I2570">
        <v>38</v>
      </c>
      <c r="J2570">
        <v>1</v>
      </c>
      <c r="K2570" t="str">
        <f t="shared" si="80"/>
        <v>Middle-Aged</v>
      </c>
      <c r="L2570" t="str">
        <f t="shared" si="81"/>
        <v>Obese</v>
      </c>
    </row>
    <row r="2571" spans="1:12" x14ac:dyDescent="0.2">
      <c r="A2571">
        <v>2570</v>
      </c>
      <c r="B2571">
        <v>0</v>
      </c>
      <c r="C2571">
        <v>134</v>
      </c>
      <c r="D2571">
        <v>58</v>
      </c>
      <c r="E2571">
        <v>20</v>
      </c>
      <c r="F2571">
        <v>291</v>
      </c>
      <c r="G2571">
        <v>26.4</v>
      </c>
      <c r="H2571">
        <v>0.35199999999999998</v>
      </c>
      <c r="I2571">
        <v>21</v>
      </c>
      <c r="J2571">
        <v>0</v>
      </c>
      <c r="K2571" t="str">
        <f t="shared" si="80"/>
        <v>Young</v>
      </c>
      <c r="L2571" t="str">
        <f t="shared" si="81"/>
        <v>Overweight</v>
      </c>
    </row>
    <row r="2572" spans="1:12" x14ac:dyDescent="0.2">
      <c r="A2572">
        <v>2571</v>
      </c>
      <c r="B2572">
        <v>3</v>
      </c>
      <c r="C2572">
        <v>102</v>
      </c>
      <c r="D2572">
        <v>74</v>
      </c>
      <c r="E2572">
        <v>0</v>
      </c>
      <c r="F2572">
        <v>0</v>
      </c>
      <c r="G2572">
        <v>29.5</v>
      </c>
      <c r="H2572">
        <v>0.121</v>
      </c>
      <c r="I2572">
        <v>32</v>
      </c>
      <c r="J2572">
        <v>0</v>
      </c>
      <c r="K2572" t="str">
        <f t="shared" si="80"/>
        <v>Middle-Aged</v>
      </c>
      <c r="L2572" t="str">
        <f t="shared" si="81"/>
        <v>Overweight</v>
      </c>
    </row>
    <row r="2573" spans="1:12" x14ac:dyDescent="0.2">
      <c r="A2573">
        <v>2572</v>
      </c>
      <c r="B2573">
        <v>7</v>
      </c>
      <c r="C2573">
        <v>187</v>
      </c>
      <c r="D2573">
        <v>50</v>
      </c>
      <c r="E2573">
        <v>33</v>
      </c>
      <c r="F2573">
        <v>392</v>
      </c>
      <c r="G2573">
        <v>33.9</v>
      </c>
      <c r="H2573">
        <v>0.82599999999999996</v>
      </c>
      <c r="I2573">
        <v>34</v>
      </c>
      <c r="J2573">
        <v>1</v>
      </c>
      <c r="K2573" t="str">
        <f t="shared" si="80"/>
        <v>Middle-Aged</v>
      </c>
      <c r="L2573" t="str">
        <f t="shared" si="81"/>
        <v>Obese</v>
      </c>
    </row>
    <row r="2574" spans="1:12" x14ac:dyDescent="0.2">
      <c r="A2574">
        <v>2573</v>
      </c>
      <c r="B2574">
        <v>3</v>
      </c>
      <c r="C2574">
        <v>173</v>
      </c>
      <c r="D2574">
        <v>78</v>
      </c>
      <c r="E2574">
        <v>39</v>
      </c>
      <c r="F2574">
        <v>185</v>
      </c>
      <c r="G2574">
        <v>33.799999999999997</v>
      </c>
      <c r="H2574">
        <v>0.97</v>
      </c>
      <c r="I2574">
        <v>31</v>
      </c>
      <c r="J2574">
        <v>1</v>
      </c>
      <c r="K2574" t="str">
        <f t="shared" si="80"/>
        <v>Middle-Aged</v>
      </c>
      <c r="L2574" t="str">
        <f t="shared" si="81"/>
        <v>Obese</v>
      </c>
    </row>
    <row r="2575" spans="1:12" x14ac:dyDescent="0.2">
      <c r="A2575">
        <v>2574</v>
      </c>
      <c r="B2575">
        <v>10</v>
      </c>
      <c r="C2575">
        <v>94</v>
      </c>
      <c r="D2575">
        <v>72</v>
      </c>
      <c r="E2575">
        <v>18</v>
      </c>
      <c r="F2575">
        <v>0</v>
      </c>
      <c r="G2575">
        <v>23.1</v>
      </c>
      <c r="H2575">
        <v>0.59499999999999997</v>
      </c>
      <c r="I2575">
        <v>56</v>
      </c>
      <c r="J2575">
        <v>0</v>
      </c>
      <c r="K2575" t="str">
        <f t="shared" si="80"/>
        <v>Senior</v>
      </c>
      <c r="L2575" t="str">
        <f t="shared" si="81"/>
        <v>Normal</v>
      </c>
    </row>
    <row r="2576" spans="1:12" x14ac:dyDescent="0.2">
      <c r="A2576">
        <v>2575</v>
      </c>
      <c r="B2576">
        <v>1</v>
      </c>
      <c r="C2576">
        <v>108</v>
      </c>
      <c r="D2576">
        <v>60</v>
      </c>
      <c r="E2576">
        <v>46</v>
      </c>
      <c r="F2576">
        <v>178</v>
      </c>
      <c r="G2576">
        <v>35.5</v>
      </c>
      <c r="H2576">
        <v>0.41499999999999998</v>
      </c>
      <c r="I2576">
        <v>24</v>
      </c>
      <c r="J2576">
        <v>0</v>
      </c>
      <c r="K2576" t="str">
        <f t="shared" si="80"/>
        <v>Young</v>
      </c>
      <c r="L2576" t="str">
        <f t="shared" si="81"/>
        <v>Obese</v>
      </c>
    </row>
    <row r="2577" spans="1:12" x14ac:dyDescent="0.2">
      <c r="A2577">
        <v>2576</v>
      </c>
      <c r="B2577">
        <v>5</v>
      </c>
      <c r="C2577">
        <v>97</v>
      </c>
      <c r="D2577">
        <v>76</v>
      </c>
      <c r="E2577">
        <v>27</v>
      </c>
      <c r="F2577">
        <v>0</v>
      </c>
      <c r="G2577">
        <v>35.6</v>
      </c>
      <c r="H2577">
        <v>0.378</v>
      </c>
      <c r="I2577">
        <v>52</v>
      </c>
      <c r="J2577">
        <v>1</v>
      </c>
      <c r="K2577" t="str">
        <f t="shared" si="80"/>
        <v>Senior</v>
      </c>
      <c r="L2577" t="str">
        <f t="shared" si="81"/>
        <v>Obese</v>
      </c>
    </row>
    <row r="2578" spans="1:12" x14ac:dyDescent="0.2">
      <c r="A2578">
        <v>2577</v>
      </c>
      <c r="B2578">
        <v>4</v>
      </c>
      <c r="C2578">
        <v>83</v>
      </c>
      <c r="D2578">
        <v>86</v>
      </c>
      <c r="E2578">
        <v>19</v>
      </c>
      <c r="F2578">
        <v>0</v>
      </c>
      <c r="G2578">
        <v>29.3</v>
      </c>
      <c r="H2578">
        <v>0.317</v>
      </c>
      <c r="I2578">
        <v>34</v>
      </c>
      <c r="J2578">
        <v>0</v>
      </c>
      <c r="K2578" t="str">
        <f t="shared" si="80"/>
        <v>Middle-Aged</v>
      </c>
      <c r="L2578" t="str">
        <f t="shared" si="81"/>
        <v>Overweight</v>
      </c>
    </row>
    <row r="2579" spans="1:12" x14ac:dyDescent="0.2">
      <c r="A2579">
        <v>2578</v>
      </c>
      <c r="B2579">
        <v>1</v>
      </c>
      <c r="C2579">
        <v>114</v>
      </c>
      <c r="D2579">
        <v>66</v>
      </c>
      <c r="E2579">
        <v>36</v>
      </c>
      <c r="F2579">
        <v>200</v>
      </c>
      <c r="G2579">
        <v>38.1</v>
      </c>
      <c r="H2579">
        <v>0.28899999999999998</v>
      </c>
      <c r="I2579">
        <v>21</v>
      </c>
      <c r="J2579">
        <v>0</v>
      </c>
      <c r="K2579" t="str">
        <f t="shared" si="80"/>
        <v>Young</v>
      </c>
      <c r="L2579" t="str">
        <f t="shared" si="81"/>
        <v>Obese</v>
      </c>
    </row>
    <row r="2580" spans="1:12" x14ac:dyDescent="0.2">
      <c r="A2580">
        <v>2579</v>
      </c>
      <c r="B2580">
        <v>1</v>
      </c>
      <c r="C2580">
        <v>149</v>
      </c>
      <c r="D2580">
        <v>68</v>
      </c>
      <c r="E2580">
        <v>29</v>
      </c>
      <c r="F2580">
        <v>127</v>
      </c>
      <c r="G2580">
        <v>29.3</v>
      </c>
      <c r="H2580">
        <v>0.34899999999999998</v>
      </c>
      <c r="I2580">
        <v>42</v>
      </c>
      <c r="J2580">
        <v>1</v>
      </c>
      <c r="K2580" t="str">
        <f t="shared" si="80"/>
        <v>Middle-Aged</v>
      </c>
      <c r="L2580" t="str">
        <f t="shared" si="81"/>
        <v>Overweight</v>
      </c>
    </row>
    <row r="2581" spans="1:12" x14ac:dyDescent="0.2">
      <c r="A2581">
        <v>2580</v>
      </c>
      <c r="B2581">
        <v>5</v>
      </c>
      <c r="C2581">
        <v>117</v>
      </c>
      <c r="D2581">
        <v>86</v>
      </c>
      <c r="E2581">
        <v>30</v>
      </c>
      <c r="F2581">
        <v>105</v>
      </c>
      <c r="G2581">
        <v>39.1</v>
      </c>
      <c r="H2581">
        <v>0.251</v>
      </c>
      <c r="I2581">
        <v>42</v>
      </c>
      <c r="J2581">
        <v>0</v>
      </c>
      <c r="K2581" t="str">
        <f t="shared" si="80"/>
        <v>Middle-Aged</v>
      </c>
      <c r="L2581" t="str">
        <f t="shared" si="81"/>
        <v>Obese</v>
      </c>
    </row>
    <row r="2582" spans="1:12" x14ac:dyDescent="0.2">
      <c r="A2582">
        <v>2581</v>
      </c>
      <c r="B2582">
        <v>1</v>
      </c>
      <c r="C2582">
        <v>111</v>
      </c>
      <c r="D2582">
        <v>94</v>
      </c>
      <c r="E2582">
        <v>0</v>
      </c>
      <c r="F2582">
        <v>0</v>
      </c>
      <c r="G2582">
        <v>32.799999999999997</v>
      </c>
      <c r="H2582">
        <v>0.26500000000000001</v>
      </c>
      <c r="I2582">
        <v>45</v>
      </c>
      <c r="J2582">
        <v>0</v>
      </c>
      <c r="K2582" t="str">
        <f t="shared" si="80"/>
        <v>Senior</v>
      </c>
      <c r="L2582" t="str">
        <f t="shared" si="81"/>
        <v>Obese</v>
      </c>
    </row>
    <row r="2583" spans="1:12" x14ac:dyDescent="0.2">
      <c r="A2583">
        <v>2582</v>
      </c>
      <c r="B2583">
        <v>4</v>
      </c>
      <c r="C2583">
        <v>112</v>
      </c>
      <c r="D2583">
        <v>78</v>
      </c>
      <c r="E2583">
        <v>40</v>
      </c>
      <c r="F2583">
        <v>0</v>
      </c>
      <c r="G2583">
        <v>39.4</v>
      </c>
      <c r="H2583">
        <v>0.23599999999999999</v>
      </c>
      <c r="I2583">
        <v>38</v>
      </c>
      <c r="J2583">
        <v>0</v>
      </c>
      <c r="K2583" t="str">
        <f t="shared" si="80"/>
        <v>Middle-Aged</v>
      </c>
      <c r="L2583" t="str">
        <f t="shared" si="81"/>
        <v>Obese</v>
      </c>
    </row>
    <row r="2584" spans="1:12" x14ac:dyDescent="0.2">
      <c r="A2584">
        <v>2583</v>
      </c>
      <c r="B2584">
        <v>1</v>
      </c>
      <c r="C2584">
        <v>116</v>
      </c>
      <c r="D2584">
        <v>78</v>
      </c>
      <c r="E2584">
        <v>29</v>
      </c>
      <c r="F2584">
        <v>180</v>
      </c>
      <c r="G2584">
        <v>36.1</v>
      </c>
      <c r="H2584">
        <v>0.496</v>
      </c>
      <c r="I2584">
        <v>25</v>
      </c>
      <c r="J2584">
        <v>0</v>
      </c>
      <c r="K2584" t="str">
        <f t="shared" si="80"/>
        <v>Young</v>
      </c>
      <c r="L2584" t="str">
        <f t="shared" si="81"/>
        <v>Obese</v>
      </c>
    </row>
    <row r="2585" spans="1:12" x14ac:dyDescent="0.2">
      <c r="A2585">
        <v>2584</v>
      </c>
      <c r="B2585">
        <v>0</v>
      </c>
      <c r="C2585">
        <v>141</v>
      </c>
      <c r="D2585">
        <v>84</v>
      </c>
      <c r="E2585">
        <v>26</v>
      </c>
      <c r="F2585">
        <v>0</v>
      </c>
      <c r="G2585">
        <v>32.4</v>
      </c>
      <c r="H2585">
        <v>0.433</v>
      </c>
      <c r="I2585">
        <v>22</v>
      </c>
      <c r="J2585">
        <v>0</v>
      </c>
      <c r="K2585" t="str">
        <f t="shared" si="80"/>
        <v>Young</v>
      </c>
      <c r="L2585" t="str">
        <f t="shared" si="81"/>
        <v>Obese</v>
      </c>
    </row>
    <row r="2586" spans="1:12" x14ac:dyDescent="0.2">
      <c r="A2586">
        <v>2585</v>
      </c>
      <c r="B2586">
        <v>2</v>
      </c>
      <c r="C2586">
        <v>175</v>
      </c>
      <c r="D2586">
        <v>88</v>
      </c>
      <c r="E2586">
        <v>0</v>
      </c>
      <c r="F2586">
        <v>0</v>
      </c>
      <c r="G2586">
        <v>22.9</v>
      </c>
      <c r="H2586">
        <v>0.32600000000000001</v>
      </c>
      <c r="I2586">
        <v>22</v>
      </c>
      <c r="J2586">
        <v>0</v>
      </c>
      <c r="K2586" t="str">
        <f t="shared" si="80"/>
        <v>Young</v>
      </c>
      <c r="L2586" t="str">
        <f t="shared" si="81"/>
        <v>Normal</v>
      </c>
    </row>
    <row r="2587" spans="1:12" x14ac:dyDescent="0.2">
      <c r="A2587">
        <v>2586</v>
      </c>
      <c r="B2587">
        <v>2</v>
      </c>
      <c r="C2587">
        <v>92</v>
      </c>
      <c r="D2587">
        <v>52</v>
      </c>
      <c r="E2587">
        <v>0</v>
      </c>
      <c r="F2587">
        <v>0</v>
      </c>
      <c r="G2587">
        <v>30.1</v>
      </c>
      <c r="H2587">
        <v>0.14099999999999999</v>
      </c>
      <c r="I2587">
        <v>22</v>
      </c>
      <c r="J2587">
        <v>0</v>
      </c>
      <c r="K2587" t="str">
        <f t="shared" si="80"/>
        <v>Young</v>
      </c>
      <c r="L2587" t="str">
        <f t="shared" si="81"/>
        <v>Obese</v>
      </c>
    </row>
    <row r="2588" spans="1:12" x14ac:dyDescent="0.2">
      <c r="A2588">
        <v>2587</v>
      </c>
      <c r="B2588">
        <v>3</v>
      </c>
      <c r="C2588">
        <v>130</v>
      </c>
      <c r="D2588">
        <v>78</v>
      </c>
      <c r="E2588">
        <v>23</v>
      </c>
      <c r="F2588">
        <v>79</v>
      </c>
      <c r="G2588">
        <v>28.4</v>
      </c>
      <c r="H2588">
        <v>0.32300000000000001</v>
      </c>
      <c r="I2588">
        <v>34</v>
      </c>
      <c r="J2588">
        <v>1</v>
      </c>
      <c r="K2588" t="str">
        <f t="shared" si="80"/>
        <v>Middle-Aged</v>
      </c>
      <c r="L2588" t="str">
        <f t="shared" si="81"/>
        <v>Overweight</v>
      </c>
    </row>
    <row r="2589" spans="1:12" x14ac:dyDescent="0.2">
      <c r="A2589">
        <v>2588</v>
      </c>
      <c r="B2589">
        <v>8</v>
      </c>
      <c r="C2589">
        <v>120</v>
      </c>
      <c r="D2589">
        <v>86</v>
      </c>
      <c r="E2589">
        <v>0</v>
      </c>
      <c r="F2589">
        <v>0</v>
      </c>
      <c r="G2589">
        <v>28.4</v>
      </c>
      <c r="H2589">
        <v>0.25900000000000001</v>
      </c>
      <c r="I2589">
        <v>22</v>
      </c>
      <c r="J2589">
        <v>1</v>
      </c>
      <c r="K2589" t="str">
        <f t="shared" si="80"/>
        <v>Young</v>
      </c>
      <c r="L2589" t="str">
        <f t="shared" si="81"/>
        <v>Overweight</v>
      </c>
    </row>
    <row r="2590" spans="1:12" x14ac:dyDescent="0.2">
      <c r="A2590">
        <v>2589</v>
      </c>
      <c r="B2590">
        <v>2</v>
      </c>
      <c r="C2590">
        <v>174</v>
      </c>
      <c r="D2590">
        <v>88</v>
      </c>
      <c r="E2590">
        <v>37</v>
      </c>
      <c r="F2590">
        <v>120</v>
      </c>
      <c r="G2590">
        <v>44.5</v>
      </c>
      <c r="H2590">
        <v>0.64600000000000002</v>
      </c>
      <c r="I2590">
        <v>24</v>
      </c>
      <c r="J2590">
        <v>1</v>
      </c>
      <c r="K2590" t="str">
        <f t="shared" si="80"/>
        <v>Young</v>
      </c>
      <c r="L2590" t="str">
        <f t="shared" si="81"/>
        <v>Obese</v>
      </c>
    </row>
    <row r="2591" spans="1:12" x14ac:dyDescent="0.2">
      <c r="A2591">
        <v>2590</v>
      </c>
      <c r="B2591">
        <v>2</v>
      </c>
      <c r="C2591">
        <v>106</v>
      </c>
      <c r="D2591">
        <v>56</v>
      </c>
      <c r="E2591">
        <v>27</v>
      </c>
      <c r="F2591">
        <v>165</v>
      </c>
      <c r="G2591">
        <v>29</v>
      </c>
      <c r="H2591">
        <v>0.42599999999999999</v>
      </c>
      <c r="I2591">
        <v>22</v>
      </c>
      <c r="J2591">
        <v>0</v>
      </c>
      <c r="K2591" t="str">
        <f t="shared" si="80"/>
        <v>Young</v>
      </c>
      <c r="L2591" t="str">
        <f t="shared" si="81"/>
        <v>Overweight</v>
      </c>
    </row>
    <row r="2592" spans="1:12" x14ac:dyDescent="0.2">
      <c r="A2592">
        <v>2591</v>
      </c>
      <c r="B2592">
        <v>2</v>
      </c>
      <c r="C2592">
        <v>105</v>
      </c>
      <c r="D2592">
        <v>75</v>
      </c>
      <c r="E2592">
        <v>0</v>
      </c>
      <c r="F2592">
        <v>0</v>
      </c>
      <c r="G2592">
        <v>23.3</v>
      </c>
      <c r="H2592">
        <v>0.56000000000000005</v>
      </c>
      <c r="I2592">
        <v>53</v>
      </c>
      <c r="J2592">
        <v>0</v>
      </c>
      <c r="K2592" t="str">
        <f t="shared" si="80"/>
        <v>Senior</v>
      </c>
      <c r="L2592" t="str">
        <f t="shared" si="81"/>
        <v>Normal</v>
      </c>
    </row>
    <row r="2593" spans="1:12" x14ac:dyDescent="0.2">
      <c r="A2593">
        <v>2592</v>
      </c>
      <c r="B2593">
        <v>4</v>
      </c>
      <c r="C2593">
        <v>95</v>
      </c>
      <c r="D2593">
        <v>60</v>
      </c>
      <c r="E2593">
        <v>32</v>
      </c>
      <c r="F2593">
        <v>0</v>
      </c>
      <c r="G2593">
        <v>35.4</v>
      </c>
      <c r="H2593">
        <v>0.28399999999999997</v>
      </c>
      <c r="I2593">
        <v>28</v>
      </c>
      <c r="J2593">
        <v>0</v>
      </c>
      <c r="K2593" t="str">
        <f t="shared" si="80"/>
        <v>Young</v>
      </c>
      <c r="L2593" t="str">
        <f t="shared" si="81"/>
        <v>Obese</v>
      </c>
    </row>
    <row r="2594" spans="1:12" x14ac:dyDescent="0.2">
      <c r="A2594">
        <v>2593</v>
      </c>
      <c r="B2594">
        <v>0</v>
      </c>
      <c r="C2594">
        <v>126</v>
      </c>
      <c r="D2594">
        <v>86</v>
      </c>
      <c r="E2594">
        <v>27</v>
      </c>
      <c r="F2594">
        <v>120</v>
      </c>
      <c r="G2594">
        <v>27.4</v>
      </c>
      <c r="H2594">
        <v>0.51500000000000001</v>
      </c>
      <c r="I2594">
        <v>21</v>
      </c>
      <c r="J2594">
        <v>0</v>
      </c>
      <c r="K2594" t="str">
        <f t="shared" si="80"/>
        <v>Young</v>
      </c>
      <c r="L2594" t="str">
        <f t="shared" si="81"/>
        <v>Overweight</v>
      </c>
    </row>
    <row r="2595" spans="1:12" x14ac:dyDescent="0.2">
      <c r="A2595">
        <v>2594</v>
      </c>
      <c r="B2595">
        <v>8</v>
      </c>
      <c r="C2595">
        <v>65</v>
      </c>
      <c r="D2595">
        <v>72</v>
      </c>
      <c r="E2595">
        <v>23</v>
      </c>
      <c r="F2595">
        <v>0</v>
      </c>
      <c r="G2595">
        <v>32</v>
      </c>
      <c r="H2595">
        <v>0.6</v>
      </c>
      <c r="I2595">
        <v>42</v>
      </c>
      <c r="J2595">
        <v>0</v>
      </c>
      <c r="K2595" t="str">
        <f t="shared" si="80"/>
        <v>Middle-Aged</v>
      </c>
      <c r="L2595" t="str">
        <f t="shared" si="81"/>
        <v>Obese</v>
      </c>
    </row>
    <row r="2596" spans="1:12" x14ac:dyDescent="0.2">
      <c r="A2596">
        <v>2595</v>
      </c>
      <c r="B2596">
        <v>2</v>
      </c>
      <c r="C2596">
        <v>99</v>
      </c>
      <c r="D2596">
        <v>60</v>
      </c>
      <c r="E2596">
        <v>17</v>
      </c>
      <c r="F2596">
        <v>160</v>
      </c>
      <c r="G2596">
        <v>36.6</v>
      </c>
      <c r="H2596">
        <v>0.45300000000000001</v>
      </c>
      <c r="I2596">
        <v>21</v>
      </c>
      <c r="J2596">
        <v>0</v>
      </c>
      <c r="K2596" t="str">
        <f t="shared" si="80"/>
        <v>Young</v>
      </c>
      <c r="L2596" t="str">
        <f t="shared" si="81"/>
        <v>Obese</v>
      </c>
    </row>
    <row r="2597" spans="1:12" x14ac:dyDescent="0.2">
      <c r="A2597">
        <v>2596</v>
      </c>
      <c r="B2597">
        <v>1</v>
      </c>
      <c r="C2597">
        <v>102</v>
      </c>
      <c r="D2597">
        <v>74</v>
      </c>
      <c r="E2597">
        <v>0</v>
      </c>
      <c r="F2597">
        <v>0</v>
      </c>
      <c r="G2597">
        <v>39.5</v>
      </c>
      <c r="H2597">
        <v>0.29299999999999998</v>
      </c>
      <c r="I2597">
        <v>42</v>
      </c>
      <c r="J2597">
        <v>1</v>
      </c>
      <c r="K2597" t="str">
        <f t="shared" si="80"/>
        <v>Middle-Aged</v>
      </c>
      <c r="L2597" t="str">
        <f t="shared" si="81"/>
        <v>Obese</v>
      </c>
    </row>
    <row r="2598" spans="1:12" x14ac:dyDescent="0.2">
      <c r="A2598">
        <v>2597</v>
      </c>
      <c r="B2598">
        <v>11</v>
      </c>
      <c r="C2598">
        <v>120</v>
      </c>
      <c r="D2598">
        <v>80</v>
      </c>
      <c r="E2598">
        <v>37</v>
      </c>
      <c r="F2598">
        <v>150</v>
      </c>
      <c r="G2598">
        <v>42.3</v>
      </c>
      <c r="H2598">
        <v>0.78500000000000003</v>
      </c>
      <c r="I2598">
        <v>48</v>
      </c>
      <c r="J2598">
        <v>1</v>
      </c>
      <c r="K2598" t="str">
        <f t="shared" si="80"/>
        <v>Senior</v>
      </c>
      <c r="L2598" t="str">
        <f t="shared" si="81"/>
        <v>Obese</v>
      </c>
    </row>
    <row r="2599" spans="1:12" x14ac:dyDescent="0.2">
      <c r="A2599">
        <v>2598</v>
      </c>
      <c r="B2599">
        <v>3</v>
      </c>
      <c r="C2599">
        <v>102</v>
      </c>
      <c r="D2599">
        <v>44</v>
      </c>
      <c r="E2599">
        <v>20</v>
      </c>
      <c r="F2599">
        <v>94</v>
      </c>
      <c r="G2599">
        <v>30.8</v>
      </c>
      <c r="H2599">
        <v>0.4</v>
      </c>
      <c r="I2599">
        <v>26</v>
      </c>
      <c r="J2599">
        <v>0</v>
      </c>
      <c r="K2599" t="str">
        <f t="shared" si="80"/>
        <v>Young</v>
      </c>
      <c r="L2599" t="str">
        <f t="shared" si="81"/>
        <v>Obese</v>
      </c>
    </row>
    <row r="2600" spans="1:12" x14ac:dyDescent="0.2">
      <c r="A2600">
        <v>2599</v>
      </c>
      <c r="B2600">
        <v>1</v>
      </c>
      <c r="C2600">
        <v>109</v>
      </c>
      <c r="D2600">
        <v>58</v>
      </c>
      <c r="E2600">
        <v>18</v>
      </c>
      <c r="F2600">
        <v>116</v>
      </c>
      <c r="G2600">
        <v>28.5</v>
      </c>
      <c r="H2600">
        <v>0.219</v>
      </c>
      <c r="I2600">
        <v>22</v>
      </c>
      <c r="J2600">
        <v>0</v>
      </c>
      <c r="K2600" t="str">
        <f t="shared" si="80"/>
        <v>Young</v>
      </c>
      <c r="L2600" t="str">
        <f t="shared" si="81"/>
        <v>Overweight</v>
      </c>
    </row>
    <row r="2601" spans="1:12" x14ac:dyDescent="0.2">
      <c r="A2601">
        <v>2600</v>
      </c>
      <c r="B2601">
        <v>9</v>
      </c>
      <c r="C2601">
        <v>140</v>
      </c>
      <c r="D2601">
        <v>94</v>
      </c>
      <c r="E2601">
        <v>0</v>
      </c>
      <c r="F2601">
        <v>0</v>
      </c>
      <c r="G2601">
        <v>32.700000000000003</v>
      </c>
      <c r="H2601">
        <v>0.73399999999999999</v>
      </c>
      <c r="I2601">
        <v>45</v>
      </c>
      <c r="J2601">
        <v>1</v>
      </c>
      <c r="K2601" t="str">
        <f t="shared" si="80"/>
        <v>Senior</v>
      </c>
      <c r="L2601" t="str">
        <f t="shared" si="81"/>
        <v>Obese</v>
      </c>
    </row>
    <row r="2602" spans="1:12" x14ac:dyDescent="0.2">
      <c r="A2602">
        <v>2601</v>
      </c>
      <c r="B2602">
        <v>13</v>
      </c>
      <c r="C2602">
        <v>153</v>
      </c>
      <c r="D2602">
        <v>88</v>
      </c>
      <c r="E2602">
        <v>37</v>
      </c>
      <c r="F2602">
        <v>140</v>
      </c>
      <c r="G2602">
        <v>40.6</v>
      </c>
      <c r="H2602">
        <v>1.1739999999999999</v>
      </c>
      <c r="I2602">
        <v>39</v>
      </c>
      <c r="J2602">
        <v>0</v>
      </c>
      <c r="K2602" t="str">
        <f t="shared" si="80"/>
        <v>Middle-Aged</v>
      </c>
      <c r="L2602" t="str">
        <f t="shared" si="81"/>
        <v>Obese</v>
      </c>
    </row>
    <row r="2603" spans="1:12" x14ac:dyDescent="0.2">
      <c r="A2603">
        <v>2602</v>
      </c>
      <c r="B2603">
        <v>12</v>
      </c>
      <c r="C2603">
        <v>100</v>
      </c>
      <c r="D2603">
        <v>84</v>
      </c>
      <c r="E2603">
        <v>33</v>
      </c>
      <c r="F2603">
        <v>105</v>
      </c>
      <c r="G2603">
        <v>30</v>
      </c>
      <c r="H2603">
        <v>0.48799999999999999</v>
      </c>
      <c r="I2603">
        <v>46</v>
      </c>
      <c r="J2603">
        <v>0</v>
      </c>
      <c r="K2603" t="str">
        <f t="shared" si="80"/>
        <v>Senior</v>
      </c>
      <c r="L2603" t="str">
        <f t="shared" si="81"/>
        <v>Obese</v>
      </c>
    </row>
    <row r="2604" spans="1:12" x14ac:dyDescent="0.2">
      <c r="A2604">
        <v>2603</v>
      </c>
      <c r="B2604">
        <v>1</v>
      </c>
      <c r="C2604">
        <v>147</v>
      </c>
      <c r="D2604">
        <v>94</v>
      </c>
      <c r="E2604">
        <v>41</v>
      </c>
      <c r="F2604">
        <v>0</v>
      </c>
      <c r="G2604">
        <v>49.3</v>
      </c>
      <c r="H2604">
        <v>0.35799999999999998</v>
      </c>
      <c r="I2604">
        <v>27</v>
      </c>
      <c r="J2604">
        <v>1</v>
      </c>
      <c r="K2604" t="str">
        <f t="shared" si="80"/>
        <v>Young</v>
      </c>
      <c r="L2604" t="str">
        <f t="shared" si="81"/>
        <v>Obese</v>
      </c>
    </row>
    <row r="2605" spans="1:12" x14ac:dyDescent="0.2">
      <c r="A2605">
        <v>2604</v>
      </c>
      <c r="B2605">
        <v>1</v>
      </c>
      <c r="C2605">
        <v>81</v>
      </c>
      <c r="D2605">
        <v>74</v>
      </c>
      <c r="E2605">
        <v>41</v>
      </c>
      <c r="F2605">
        <v>57</v>
      </c>
      <c r="G2605">
        <v>46.3</v>
      </c>
      <c r="H2605">
        <v>1.0960000000000001</v>
      </c>
      <c r="I2605">
        <v>32</v>
      </c>
      <c r="J2605">
        <v>0</v>
      </c>
      <c r="K2605" t="str">
        <f t="shared" si="80"/>
        <v>Middle-Aged</v>
      </c>
      <c r="L2605" t="str">
        <f t="shared" si="81"/>
        <v>Obese</v>
      </c>
    </row>
    <row r="2606" spans="1:12" x14ac:dyDescent="0.2">
      <c r="A2606">
        <v>2605</v>
      </c>
      <c r="B2606">
        <v>3</v>
      </c>
      <c r="C2606">
        <v>187</v>
      </c>
      <c r="D2606">
        <v>70</v>
      </c>
      <c r="E2606">
        <v>22</v>
      </c>
      <c r="F2606">
        <v>200</v>
      </c>
      <c r="G2606">
        <v>36.4</v>
      </c>
      <c r="H2606">
        <v>0.40799999999999997</v>
      </c>
      <c r="I2606">
        <v>36</v>
      </c>
      <c r="J2606">
        <v>1</v>
      </c>
      <c r="K2606" t="str">
        <f t="shared" si="80"/>
        <v>Middle-Aged</v>
      </c>
      <c r="L2606" t="str">
        <f t="shared" si="81"/>
        <v>Obese</v>
      </c>
    </row>
    <row r="2607" spans="1:12" x14ac:dyDescent="0.2">
      <c r="A2607">
        <v>2606</v>
      </c>
      <c r="B2607">
        <v>6</v>
      </c>
      <c r="C2607">
        <v>162</v>
      </c>
      <c r="D2607">
        <v>62</v>
      </c>
      <c r="E2607">
        <v>0</v>
      </c>
      <c r="F2607">
        <v>0</v>
      </c>
      <c r="G2607">
        <v>24.3</v>
      </c>
      <c r="H2607">
        <v>0.17799999999999999</v>
      </c>
      <c r="I2607">
        <v>50</v>
      </c>
      <c r="J2607">
        <v>1</v>
      </c>
      <c r="K2607" t="str">
        <f t="shared" si="80"/>
        <v>Senior</v>
      </c>
      <c r="L2607" t="str">
        <f t="shared" si="81"/>
        <v>Normal</v>
      </c>
    </row>
    <row r="2608" spans="1:12" x14ac:dyDescent="0.2">
      <c r="A2608">
        <v>2607</v>
      </c>
      <c r="B2608">
        <v>4</v>
      </c>
      <c r="C2608">
        <v>136</v>
      </c>
      <c r="D2608">
        <v>70</v>
      </c>
      <c r="E2608">
        <v>0</v>
      </c>
      <c r="F2608">
        <v>0</v>
      </c>
      <c r="G2608">
        <v>31.2</v>
      </c>
      <c r="H2608">
        <v>1.1819999999999999</v>
      </c>
      <c r="I2608">
        <v>22</v>
      </c>
      <c r="J2608">
        <v>1</v>
      </c>
      <c r="K2608" t="str">
        <f t="shared" si="80"/>
        <v>Young</v>
      </c>
      <c r="L2608" t="str">
        <f t="shared" si="81"/>
        <v>Obese</v>
      </c>
    </row>
    <row r="2609" spans="1:12" x14ac:dyDescent="0.2">
      <c r="A2609">
        <v>2608</v>
      </c>
      <c r="B2609">
        <v>1</v>
      </c>
      <c r="C2609">
        <v>121</v>
      </c>
      <c r="D2609">
        <v>78</v>
      </c>
      <c r="E2609">
        <v>39</v>
      </c>
      <c r="F2609">
        <v>74</v>
      </c>
      <c r="G2609">
        <v>39</v>
      </c>
      <c r="H2609">
        <v>0.26100000000000001</v>
      </c>
      <c r="I2609">
        <v>28</v>
      </c>
      <c r="J2609">
        <v>0</v>
      </c>
      <c r="K2609" t="str">
        <f t="shared" si="80"/>
        <v>Young</v>
      </c>
      <c r="L2609" t="str">
        <f t="shared" si="81"/>
        <v>Obese</v>
      </c>
    </row>
    <row r="2610" spans="1:12" x14ac:dyDescent="0.2">
      <c r="A2610">
        <v>2609</v>
      </c>
      <c r="B2610">
        <v>3</v>
      </c>
      <c r="C2610">
        <v>108</v>
      </c>
      <c r="D2610">
        <v>62</v>
      </c>
      <c r="E2610">
        <v>24</v>
      </c>
      <c r="F2610">
        <v>0</v>
      </c>
      <c r="G2610">
        <v>26</v>
      </c>
      <c r="H2610">
        <v>0.223</v>
      </c>
      <c r="I2610">
        <v>25</v>
      </c>
      <c r="J2610">
        <v>0</v>
      </c>
      <c r="K2610" t="str">
        <f t="shared" si="80"/>
        <v>Young</v>
      </c>
      <c r="L2610" t="str">
        <f t="shared" si="81"/>
        <v>Overweight</v>
      </c>
    </row>
    <row r="2611" spans="1:12" x14ac:dyDescent="0.2">
      <c r="A2611">
        <v>2610</v>
      </c>
      <c r="B2611">
        <v>0</v>
      </c>
      <c r="C2611">
        <v>181</v>
      </c>
      <c r="D2611">
        <v>88</v>
      </c>
      <c r="E2611">
        <v>44</v>
      </c>
      <c r="F2611">
        <v>510</v>
      </c>
      <c r="G2611">
        <v>43.3</v>
      </c>
      <c r="H2611">
        <v>0.222</v>
      </c>
      <c r="I2611">
        <v>26</v>
      </c>
      <c r="J2611">
        <v>1</v>
      </c>
      <c r="K2611" t="str">
        <f t="shared" si="80"/>
        <v>Young</v>
      </c>
      <c r="L2611" t="str">
        <f t="shared" si="81"/>
        <v>Obese</v>
      </c>
    </row>
    <row r="2612" spans="1:12" x14ac:dyDescent="0.2">
      <c r="A2612">
        <v>2611</v>
      </c>
      <c r="B2612">
        <v>8</v>
      </c>
      <c r="C2612">
        <v>154</v>
      </c>
      <c r="D2612">
        <v>78</v>
      </c>
      <c r="E2612">
        <v>32</v>
      </c>
      <c r="F2612">
        <v>0</v>
      </c>
      <c r="G2612">
        <v>32.4</v>
      </c>
      <c r="H2612">
        <v>0.443</v>
      </c>
      <c r="I2612">
        <v>45</v>
      </c>
      <c r="J2612">
        <v>1</v>
      </c>
      <c r="K2612" t="str">
        <f t="shared" si="80"/>
        <v>Senior</v>
      </c>
      <c r="L2612" t="str">
        <f t="shared" si="81"/>
        <v>Obese</v>
      </c>
    </row>
    <row r="2613" spans="1:12" x14ac:dyDescent="0.2">
      <c r="A2613">
        <v>2612</v>
      </c>
      <c r="B2613">
        <v>1</v>
      </c>
      <c r="C2613">
        <v>128</v>
      </c>
      <c r="D2613">
        <v>88</v>
      </c>
      <c r="E2613">
        <v>39</v>
      </c>
      <c r="F2613">
        <v>110</v>
      </c>
      <c r="G2613">
        <v>36.5</v>
      </c>
      <c r="H2613">
        <v>1.0569999999999999</v>
      </c>
      <c r="I2613">
        <v>37</v>
      </c>
      <c r="J2613">
        <v>1</v>
      </c>
      <c r="K2613" t="str">
        <f t="shared" si="80"/>
        <v>Middle-Aged</v>
      </c>
      <c r="L2613" t="str">
        <f t="shared" si="81"/>
        <v>Obese</v>
      </c>
    </row>
    <row r="2614" spans="1:12" x14ac:dyDescent="0.2">
      <c r="A2614">
        <v>2613</v>
      </c>
      <c r="B2614">
        <v>7</v>
      </c>
      <c r="C2614">
        <v>137</v>
      </c>
      <c r="D2614">
        <v>90</v>
      </c>
      <c r="E2614">
        <v>41</v>
      </c>
      <c r="F2614">
        <v>0</v>
      </c>
      <c r="G2614">
        <v>32</v>
      </c>
      <c r="H2614">
        <v>0.39100000000000001</v>
      </c>
      <c r="I2614">
        <v>39</v>
      </c>
      <c r="J2614">
        <v>0</v>
      </c>
      <c r="K2614" t="str">
        <f t="shared" si="80"/>
        <v>Middle-Aged</v>
      </c>
      <c r="L2614" t="str">
        <f t="shared" si="81"/>
        <v>Obese</v>
      </c>
    </row>
    <row r="2615" spans="1:12" x14ac:dyDescent="0.2">
      <c r="A2615">
        <v>2614</v>
      </c>
      <c r="B2615">
        <v>0</v>
      </c>
      <c r="C2615">
        <v>123</v>
      </c>
      <c r="D2615">
        <v>72</v>
      </c>
      <c r="E2615">
        <v>0</v>
      </c>
      <c r="F2615">
        <v>0</v>
      </c>
      <c r="G2615">
        <v>36.299999999999997</v>
      </c>
      <c r="H2615">
        <v>0.25800000000000001</v>
      </c>
      <c r="I2615">
        <v>52</v>
      </c>
      <c r="J2615">
        <v>1</v>
      </c>
      <c r="K2615" t="str">
        <f t="shared" si="80"/>
        <v>Senior</v>
      </c>
      <c r="L2615" t="str">
        <f t="shared" si="81"/>
        <v>Obese</v>
      </c>
    </row>
    <row r="2616" spans="1:12" x14ac:dyDescent="0.2">
      <c r="A2616">
        <v>2615</v>
      </c>
      <c r="B2616">
        <v>1</v>
      </c>
      <c r="C2616">
        <v>106</v>
      </c>
      <c r="D2616">
        <v>76</v>
      </c>
      <c r="E2616">
        <v>0</v>
      </c>
      <c r="F2616">
        <v>0</v>
      </c>
      <c r="G2616">
        <v>37.5</v>
      </c>
      <c r="H2616">
        <v>0.19700000000000001</v>
      </c>
      <c r="I2616">
        <v>26</v>
      </c>
      <c r="J2616">
        <v>0</v>
      </c>
      <c r="K2616" t="str">
        <f t="shared" si="80"/>
        <v>Young</v>
      </c>
      <c r="L2616" t="str">
        <f t="shared" si="81"/>
        <v>Obese</v>
      </c>
    </row>
    <row r="2617" spans="1:12" x14ac:dyDescent="0.2">
      <c r="A2617">
        <v>2616</v>
      </c>
      <c r="B2617">
        <v>6</v>
      </c>
      <c r="C2617">
        <v>190</v>
      </c>
      <c r="D2617">
        <v>92</v>
      </c>
      <c r="E2617">
        <v>0</v>
      </c>
      <c r="F2617">
        <v>0</v>
      </c>
      <c r="G2617">
        <v>35.5</v>
      </c>
      <c r="H2617">
        <v>0.27800000000000002</v>
      </c>
      <c r="I2617">
        <v>66</v>
      </c>
      <c r="J2617">
        <v>1</v>
      </c>
      <c r="K2617" t="str">
        <f t="shared" si="80"/>
        <v>Senior</v>
      </c>
      <c r="L2617" t="str">
        <f t="shared" si="81"/>
        <v>Obese</v>
      </c>
    </row>
    <row r="2618" spans="1:12" x14ac:dyDescent="0.2">
      <c r="A2618">
        <v>2617</v>
      </c>
      <c r="B2618">
        <v>2</v>
      </c>
      <c r="C2618">
        <v>88</v>
      </c>
      <c r="D2618">
        <v>58</v>
      </c>
      <c r="E2618">
        <v>26</v>
      </c>
      <c r="F2618">
        <v>16</v>
      </c>
      <c r="G2618">
        <v>28.4</v>
      </c>
      <c r="H2618">
        <v>0.76600000000000001</v>
      </c>
      <c r="I2618">
        <v>22</v>
      </c>
      <c r="J2618">
        <v>0</v>
      </c>
      <c r="K2618" t="str">
        <f t="shared" si="80"/>
        <v>Young</v>
      </c>
      <c r="L2618" t="str">
        <f t="shared" si="81"/>
        <v>Overweight</v>
      </c>
    </row>
    <row r="2619" spans="1:12" x14ac:dyDescent="0.2">
      <c r="A2619">
        <v>2618</v>
      </c>
      <c r="B2619">
        <v>9</v>
      </c>
      <c r="C2619">
        <v>170</v>
      </c>
      <c r="D2619">
        <v>74</v>
      </c>
      <c r="E2619">
        <v>31</v>
      </c>
      <c r="F2619">
        <v>0</v>
      </c>
      <c r="G2619">
        <v>44</v>
      </c>
      <c r="H2619">
        <v>0.40300000000000002</v>
      </c>
      <c r="I2619">
        <v>43</v>
      </c>
      <c r="J2619">
        <v>1</v>
      </c>
      <c r="K2619" t="str">
        <f t="shared" si="80"/>
        <v>Middle-Aged</v>
      </c>
      <c r="L2619" t="str">
        <f t="shared" si="81"/>
        <v>Obese</v>
      </c>
    </row>
    <row r="2620" spans="1:12" x14ac:dyDescent="0.2">
      <c r="A2620">
        <v>2619</v>
      </c>
      <c r="B2620">
        <v>9</v>
      </c>
      <c r="C2620">
        <v>89</v>
      </c>
      <c r="D2620">
        <v>62</v>
      </c>
      <c r="E2620">
        <v>0</v>
      </c>
      <c r="F2620">
        <v>0</v>
      </c>
      <c r="G2620">
        <v>22.5</v>
      </c>
      <c r="H2620">
        <v>0.14199999999999999</v>
      </c>
      <c r="I2620">
        <v>33</v>
      </c>
      <c r="J2620">
        <v>0</v>
      </c>
      <c r="K2620" t="str">
        <f t="shared" si="80"/>
        <v>Middle-Aged</v>
      </c>
      <c r="L2620" t="str">
        <f t="shared" si="81"/>
        <v>Normal</v>
      </c>
    </row>
    <row r="2621" spans="1:12" x14ac:dyDescent="0.2">
      <c r="A2621">
        <v>2620</v>
      </c>
      <c r="B2621">
        <v>10</v>
      </c>
      <c r="C2621">
        <v>101</v>
      </c>
      <c r="D2621">
        <v>76</v>
      </c>
      <c r="E2621">
        <v>48</v>
      </c>
      <c r="F2621">
        <v>180</v>
      </c>
      <c r="G2621">
        <v>32.9</v>
      </c>
      <c r="H2621">
        <v>0.17100000000000001</v>
      </c>
      <c r="I2621">
        <v>63</v>
      </c>
      <c r="J2621">
        <v>0</v>
      </c>
      <c r="K2621" t="str">
        <f t="shared" si="80"/>
        <v>Senior</v>
      </c>
      <c r="L2621" t="str">
        <f t="shared" si="81"/>
        <v>Obese</v>
      </c>
    </row>
    <row r="2622" spans="1:12" x14ac:dyDescent="0.2">
      <c r="A2622">
        <v>2621</v>
      </c>
      <c r="B2622">
        <v>2</v>
      </c>
      <c r="C2622">
        <v>122</v>
      </c>
      <c r="D2622">
        <v>70</v>
      </c>
      <c r="E2622">
        <v>27</v>
      </c>
      <c r="F2622">
        <v>0</v>
      </c>
      <c r="G2622">
        <v>36.799999999999997</v>
      </c>
      <c r="H2622">
        <v>0.34</v>
      </c>
      <c r="I2622">
        <v>27</v>
      </c>
      <c r="J2622">
        <v>0</v>
      </c>
      <c r="K2622" t="str">
        <f t="shared" si="80"/>
        <v>Young</v>
      </c>
      <c r="L2622" t="str">
        <f t="shared" si="81"/>
        <v>Obese</v>
      </c>
    </row>
    <row r="2623" spans="1:12" x14ac:dyDescent="0.2">
      <c r="A2623">
        <v>2622</v>
      </c>
      <c r="B2623">
        <v>5</v>
      </c>
      <c r="C2623">
        <v>121</v>
      </c>
      <c r="D2623">
        <v>72</v>
      </c>
      <c r="E2623">
        <v>23</v>
      </c>
      <c r="F2623">
        <v>112</v>
      </c>
      <c r="G2623">
        <v>26.2</v>
      </c>
      <c r="H2623">
        <v>0.245</v>
      </c>
      <c r="I2623">
        <v>30</v>
      </c>
      <c r="J2623">
        <v>0</v>
      </c>
      <c r="K2623" t="str">
        <f t="shared" si="80"/>
        <v>Middle-Aged</v>
      </c>
      <c r="L2623" t="str">
        <f t="shared" si="81"/>
        <v>Overweight</v>
      </c>
    </row>
    <row r="2624" spans="1:12" x14ac:dyDescent="0.2">
      <c r="A2624">
        <v>2623</v>
      </c>
      <c r="B2624">
        <v>1</v>
      </c>
      <c r="C2624">
        <v>126</v>
      </c>
      <c r="D2624">
        <v>60</v>
      </c>
      <c r="E2624">
        <v>0</v>
      </c>
      <c r="F2624">
        <v>0</v>
      </c>
      <c r="G2624">
        <v>30.1</v>
      </c>
      <c r="H2624">
        <v>0.34899999999999998</v>
      </c>
      <c r="I2624">
        <v>47</v>
      </c>
      <c r="J2624">
        <v>1</v>
      </c>
      <c r="K2624" t="str">
        <f t="shared" si="80"/>
        <v>Senior</v>
      </c>
      <c r="L2624" t="str">
        <f t="shared" si="81"/>
        <v>Obese</v>
      </c>
    </row>
    <row r="2625" spans="1:12" x14ac:dyDescent="0.2">
      <c r="A2625">
        <v>2624</v>
      </c>
      <c r="B2625">
        <v>10</v>
      </c>
      <c r="C2625">
        <v>122</v>
      </c>
      <c r="D2625">
        <v>78</v>
      </c>
      <c r="E2625">
        <v>31</v>
      </c>
      <c r="F2625">
        <v>0</v>
      </c>
      <c r="G2625">
        <v>27.6</v>
      </c>
      <c r="H2625">
        <v>0.51200000000000001</v>
      </c>
      <c r="I2625">
        <v>45</v>
      </c>
      <c r="J2625">
        <v>0</v>
      </c>
      <c r="K2625" t="str">
        <f t="shared" si="80"/>
        <v>Senior</v>
      </c>
      <c r="L2625" t="str">
        <f t="shared" si="81"/>
        <v>Overweight</v>
      </c>
    </row>
    <row r="2626" spans="1:12" x14ac:dyDescent="0.2">
      <c r="A2626">
        <v>2625</v>
      </c>
      <c r="B2626">
        <v>4</v>
      </c>
      <c r="C2626">
        <v>103</v>
      </c>
      <c r="D2626">
        <v>60</v>
      </c>
      <c r="E2626">
        <v>33</v>
      </c>
      <c r="F2626">
        <v>192</v>
      </c>
      <c r="G2626">
        <v>24</v>
      </c>
      <c r="H2626">
        <v>0.96599999999999997</v>
      </c>
      <c r="I2626">
        <v>33</v>
      </c>
      <c r="J2626">
        <v>0</v>
      </c>
      <c r="K2626" t="str">
        <f t="shared" si="80"/>
        <v>Middle-Aged</v>
      </c>
      <c r="L2626" t="str">
        <f t="shared" si="81"/>
        <v>Normal</v>
      </c>
    </row>
    <row r="2627" spans="1:12" x14ac:dyDescent="0.2">
      <c r="A2627">
        <v>2626</v>
      </c>
      <c r="B2627">
        <v>11</v>
      </c>
      <c r="C2627">
        <v>138</v>
      </c>
      <c r="D2627">
        <v>76</v>
      </c>
      <c r="E2627">
        <v>0</v>
      </c>
      <c r="F2627">
        <v>0</v>
      </c>
      <c r="G2627">
        <v>33.200000000000003</v>
      </c>
      <c r="H2627">
        <v>0.42</v>
      </c>
      <c r="I2627">
        <v>35</v>
      </c>
      <c r="J2627">
        <v>0</v>
      </c>
      <c r="K2627" t="str">
        <f t="shared" ref="K2627:K2690" si="82">IF(I2627&lt;30, "Young", IF( I2627&lt;45, "Middle-Aged", "Senior"))</f>
        <v>Middle-Aged</v>
      </c>
      <c r="L2627" t="str">
        <f t="shared" ref="L2627:L2690" si="83">IF(G2627&lt;18.5, "Underweight", IF(G2627&lt;25, "Normal", IF(G2627&lt;30, "Overweight", "Obese")))</f>
        <v>Obese</v>
      </c>
    </row>
    <row r="2628" spans="1:12" x14ac:dyDescent="0.2">
      <c r="A2628">
        <v>2627</v>
      </c>
      <c r="B2628">
        <v>9</v>
      </c>
      <c r="C2628">
        <v>102</v>
      </c>
      <c r="D2628">
        <v>76</v>
      </c>
      <c r="E2628">
        <v>37</v>
      </c>
      <c r="F2628">
        <v>0</v>
      </c>
      <c r="G2628">
        <v>32.9</v>
      </c>
      <c r="H2628">
        <v>0.66500000000000004</v>
      </c>
      <c r="I2628">
        <v>46</v>
      </c>
      <c r="J2628">
        <v>1</v>
      </c>
      <c r="K2628" t="str">
        <f t="shared" si="82"/>
        <v>Senior</v>
      </c>
      <c r="L2628" t="str">
        <f t="shared" si="83"/>
        <v>Obese</v>
      </c>
    </row>
    <row r="2629" spans="1:12" x14ac:dyDescent="0.2">
      <c r="A2629">
        <v>2628</v>
      </c>
      <c r="B2629">
        <v>2</v>
      </c>
      <c r="C2629">
        <v>90</v>
      </c>
      <c r="D2629">
        <v>68</v>
      </c>
      <c r="E2629">
        <v>42</v>
      </c>
      <c r="F2629">
        <v>0</v>
      </c>
      <c r="G2629">
        <v>38.200000000000003</v>
      </c>
      <c r="H2629">
        <v>0.503</v>
      </c>
      <c r="I2629">
        <v>27</v>
      </c>
      <c r="J2629">
        <v>1</v>
      </c>
      <c r="K2629" t="str">
        <f t="shared" si="82"/>
        <v>Young</v>
      </c>
      <c r="L2629" t="str">
        <f t="shared" si="83"/>
        <v>Obese</v>
      </c>
    </row>
    <row r="2630" spans="1:12" x14ac:dyDescent="0.2">
      <c r="A2630">
        <v>2629</v>
      </c>
      <c r="B2630">
        <v>4</v>
      </c>
      <c r="C2630">
        <v>111</v>
      </c>
      <c r="D2630">
        <v>72</v>
      </c>
      <c r="E2630">
        <v>47</v>
      </c>
      <c r="F2630">
        <v>207</v>
      </c>
      <c r="G2630">
        <v>37.1</v>
      </c>
      <c r="H2630">
        <v>1.39</v>
      </c>
      <c r="I2630">
        <v>56</v>
      </c>
      <c r="J2630">
        <v>1</v>
      </c>
      <c r="K2630" t="str">
        <f t="shared" si="82"/>
        <v>Senior</v>
      </c>
      <c r="L2630" t="str">
        <f t="shared" si="83"/>
        <v>Obese</v>
      </c>
    </row>
    <row r="2631" spans="1:12" x14ac:dyDescent="0.2">
      <c r="A2631">
        <v>2630</v>
      </c>
      <c r="B2631">
        <v>3</v>
      </c>
      <c r="C2631">
        <v>180</v>
      </c>
      <c r="D2631">
        <v>64</v>
      </c>
      <c r="E2631">
        <v>25</v>
      </c>
      <c r="F2631">
        <v>70</v>
      </c>
      <c r="G2631">
        <v>34</v>
      </c>
      <c r="H2631">
        <v>0.27100000000000002</v>
      </c>
      <c r="I2631">
        <v>26</v>
      </c>
      <c r="J2631">
        <v>0</v>
      </c>
      <c r="K2631" t="str">
        <f t="shared" si="82"/>
        <v>Young</v>
      </c>
      <c r="L2631" t="str">
        <f t="shared" si="83"/>
        <v>Obese</v>
      </c>
    </row>
    <row r="2632" spans="1:12" x14ac:dyDescent="0.2">
      <c r="A2632">
        <v>2631</v>
      </c>
      <c r="B2632">
        <v>7</v>
      </c>
      <c r="C2632">
        <v>133</v>
      </c>
      <c r="D2632">
        <v>84</v>
      </c>
      <c r="E2632">
        <v>0</v>
      </c>
      <c r="F2632">
        <v>0</v>
      </c>
      <c r="G2632">
        <v>40.200000000000003</v>
      </c>
      <c r="H2632">
        <v>0.69599999999999995</v>
      </c>
      <c r="I2632">
        <v>37</v>
      </c>
      <c r="J2632">
        <v>0</v>
      </c>
      <c r="K2632" t="str">
        <f t="shared" si="82"/>
        <v>Middle-Aged</v>
      </c>
      <c r="L2632" t="str">
        <f t="shared" si="83"/>
        <v>Obese</v>
      </c>
    </row>
    <row r="2633" spans="1:12" x14ac:dyDescent="0.2">
      <c r="A2633">
        <v>2632</v>
      </c>
      <c r="B2633">
        <v>7</v>
      </c>
      <c r="C2633">
        <v>106</v>
      </c>
      <c r="D2633">
        <v>92</v>
      </c>
      <c r="E2633">
        <v>18</v>
      </c>
      <c r="F2633">
        <v>0</v>
      </c>
      <c r="G2633">
        <v>22.7</v>
      </c>
      <c r="H2633">
        <v>0.23499999999999999</v>
      </c>
      <c r="I2633">
        <v>48</v>
      </c>
      <c r="J2633">
        <v>0</v>
      </c>
      <c r="K2633" t="str">
        <f t="shared" si="82"/>
        <v>Senior</v>
      </c>
      <c r="L2633" t="str">
        <f t="shared" si="83"/>
        <v>Normal</v>
      </c>
    </row>
    <row r="2634" spans="1:12" x14ac:dyDescent="0.2">
      <c r="A2634">
        <v>2633</v>
      </c>
      <c r="B2634">
        <v>9</v>
      </c>
      <c r="C2634">
        <v>171</v>
      </c>
      <c r="D2634">
        <v>110</v>
      </c>
      <c r="E2634">
        <v>24</v>
      </c>
      <c r="F2634">
        <v>240</v>
      </c>
      <c r="G2634">
        <v>45.4</v>
      </c>
      <c r="H2634">
        <v>0.72099999999999997</v>
      </c>
      <c r="I2634">
        <v>54</v>
      </c>
      <c r="J2634">
        <v>1</v>
      </c>
      <c r="K2634" t="str">
        <f t="shared" si="82"/>
        <v>Senior</v>
      </c>
      <c r="L2634" t="str">
        <f t="shared" si="83"/>
        <v>Obese</v>
      </c>
    </row>
    <row r="2635" spans="1:12" x14ac:dyDescent="0.2">
      <c r="A2635">
        <v>2634</v>
      </c>
      <c r="B2635">
        <v>7</v>
      </c>
      <c r="C2635">
        <v>159</v>
      </c>
      <c r="D2635">
        <v>64</v>
      </c>
      <c r="E2635">
        <v>0</v>
      </c>
      <c r="F2635">
        <v>0</v>
      </c>
      <c r="G2635">
        <v>27.4</v>
      </c>
      <c r="H2635">
        <v>0.29399999999999998</v>
      </c>
      <c r="I2635">
        <v>40</v>
      </c>
      <c r="J2635">
        <v>0</v>
      </c>
      <c r="K2635" t="str">
        <f t="shared" si="82"/>
        <v>Middle-Aged</v>
      </c>
      <c r="L2635" t="str">
        <f t="shared" si="83"/>
        <v>Overweight</v>
      </c>
    </row>
    <row r="2636" spans="1:12" x14ac:dyDescent="0.2">
      <c r="A2636">
        <v>2635</v>
      </c>
      <c r="B2636">
        <v>0</v>
      </c>
      <c r="C2636">
        <v>180</v>
      </c>
      <c r="D2636">
        <v>66</v>
      </c>
      <c r="E2636">
        <v>39</v>
      </c>
      <c r="F2636">
        <v>0</v>
      </c>
      <c r="G2636">
        <v>42</v>
      </c>
      <c r="H2636">
        <v>1.893</v>
      </c>
      <c r="I2636">
        <v>25</v>
      </c>
      <c r="J2636">
        <v>1</v>
      </c>
      <c r="K2636" t="str">
        <f t="shared" si="82"/>
        <v>Young</v>
      </c>
      <c r="L2636" t="str">
        <f t="shared" si="83"/>
        <v>Obese</v>
      </c>
    </row>
    <row r="2637" spans="1:12" x14ac:dyDescent="0.2">
      <c r="A2637">
        <v>2636</v>
      </c>
      <c r="B2637">
        <v>1</v>
      </c>
      <c r="C2637">
        <v>146</v>
      </c>
      <c r="D2637">
        <v>56</v>
      </c>
      <c r="E2637">
        <v>0</v>
      </c>
      <c r="F2637">
        <v>0</v>
      </c>
      <c r="G2637">
        <v>29.7</v>
      </c>
      <c r="H2637">
        <v>0.56399999999999995</v>
      </c>
      <c r="I2637">
        <v>29</v>
      </c>
      <c r="J2637">
        <v>0</v>
      </c>
      <c r="K2637" t="str">
        <f t="shared" si="82"/>
        <v>Young</v>
      </c>
      <c r="L2637" t="str">
        <f t="shared" si="83"/>
        <v>Overweight</v>
      </c>
    </row>
    <row r="2638" spans="1:12" x14ac:dyDescent="0.2">
      <c r="A2638">
        <v>2637</v>
      </c>
      <c r="B2638">
        <v>2</v>
      </c>
      <c r="C2638">
        <v>71</v>
      </c>
      <c r="D2638">
        <v>70</v>
      </c>
      <c r="E2638">
        <v>27</v>
      </c>
      <c r="F2638">
        <v>0</v>
      </c>
      <c r="G2638">
        <v>28</v>
      </c>
      <c r="H2638">
        <v>0.58599999999999997</v>
      </c>
      <c r="I2638">
        <v>22</v>
      </c>
      <c r="J2638">
        <v>0</v>
      </c>
      <c r="K2638" t="str">
        <f t="shared" si="82"/>
        <v>Young</v>
      </c>
      <c r="L2638" t="str">
        <f t="shared" si="83"/>
        <v>Overweight</v>
      </c>
    </row>
    <row r="2639" spans="1:12" x14ac:dyDescent="0.2">
      <c r="A2639">
        <v>2638</v>
      </c>
      <c r="B2639">
        <v>7</v>
      </c>
      <c r="C2639">
        <v>103</v>
      </c>
      <c r="D2639">
        <v>66</v>
      </c>
      <c r="E2639">
        <v>32</v>
      </c>
      <c r="F2639">
        <v>0</v>
      </c>
      <c r="G2639">
        <v>39.1</v>
      </c>
      <c r="H2639">
        <v>0.34399999999999997</v>
      </c>
      <c r="I2639">
        <v>31</v>
      </c>
      <c r="J2639">
        <v>1</v>
      </c>
      <c r="K2639" t="str">
        <f t="shared" si="82"/>
        <v>Middle-Aged</v>
      </c>
      <c r="L2639" t="str">
        <f t="shared" si="83"/>
        <v>Obese</v>
      </c>
    </row>
    <row r="2640" spans="1:12" x14ac:dyDescent="0.2">
      <c r="A2640">
        <v>2639</v>
      </c>
      <c r="B2640">
        <v>7</v>
      </c>
      <c r="C2640">
        <v>105</v>
      </c>
      <c r="D2640">
        <v>121</v>
      </c>
      <c r="E2640">
        <v>0</v>
      </c>
      <c r="F2640">
        <v>0</v>
      </c>
      <c r="G2640">
        <v>121</v>
      </c>
      <c r="H2640">
        <v>0.30499999999999999</v>
      </c>
      <c r="I2640">
        <v>24</v>
      </c>
      <c r="J2640">
        <v>0</v>
      </c>
      <c r="K2640" t="str">
        <f t="shared" si="82"/>
        <v>Young</v>
      </c>
      <c r="L2640" t="str">
        <f t="shared" si="83"/>
        <v>Obese</v>
      </c>
    </row>
    <row r="2641" spans="1:12" x14ac:dyDescent="0.2">
      <c r="A2641">
        <v>2640</v>
      </c>
      <c r="B2641">
        <v>1</v>
      </c>
      <c r="C2641">
        <v>103</v>
      </c>
      <c r="D2641">
        <v>80</v>
      </c>
      <c r="E2641">
        <v>11</v>
      </c>
      <c r="F2641">
        <v>82</v>
      </c>
      <c r="G2641">
        <v>19.399999999999999</v>
      </c>
      <c r="H2641">
        <v>0.49099999999999999</v>
      </c>
      <c r="I2641">
        <v>22</v>
      </c>
      <c r="J2641">
        <v>0</v>
      </c>
      <c r="K2641" t="str">
        <f t="shared" si="82"/>
        <v>Young</v>
      </c>
      <c r="L2641" t="str">
        <f t="shared" si="83"/>
        <v>Normal</v>
      </c>
    </row>
    <row r="2642" spans="1:12" x14ac:dyDescent="0.2">
      <c r="A2642">
        <v>2641</v>
      </c>
      <c r="B2642">
        <v>1</v>
      </c>
      <c r="C2642">
        <v>101</v>
      </c>
      <c r="D2642">
        <v>50</v>
      </c>
      <c r="E2642">
        <v>15</v>
      </c>
      <c r="F2642">
        <v>36</v>
      </c>
      <c r="G2642">
        <v>24.2</v>
      </c>
      <c r="H2642">
        <v>0.52600000000000002</v>
      </c>
      <c r="I2642">
        <v>26</v>
      </c>
      <c r="J2642">
        <v>0</v>
      </c>
      <c r="K2642" t="str">
        <f t="shared" si="82"/>
        <v>Young</v>
      </c>
      <c r="L2642" t="str">
        <f t="shared" si="83"/>
        <v>Normal</v>
      </c>
    </row>
    <row r="2643" spans="1:12" x14ac:dyDescent="0.2">
      <c r="A2643">
        <v>2642</v>
      </c>
      <c r="B2643">
        <v>5</v>
      </c>
      <c r="C2643">
        <v>88</v>
      </c>
      <c r="D2643">
        <v>66</v>
      </c>
      <c r="E2643">
        <v>21</v>
      </c>
      <c r="F2643">
        <v>23</v>
      </c>
      <c r="G2643">
        <v>24.4</v>
      </c>
      <c r="H2643">
        <v>0.34200000000000003</v>
      </c>
      <c r="I2643">
        <v>30</v>
      </c>
      <c r="J2643">
        <v>0</v>
      </c>
      <c r="K2643" t="str">
        <f t="shared" si="82"/>
        <v>Middle-Aged</v>
      </c>
      <c r="L2643" t="str">
        <f t="shared" si="83"/>
        <v>Normal</v>
      </c>
    </row>
    <row r="2644" spans="1:12" x14ac:dyDescent="0.2">
      <c r="A2644">
        <v>2643</v>
      </c>
      <c r="B2644">
        <v>8</v>
      </c>
      <c r="C2644">
        <v>176</v>
      </c>
      <c r="D2644">
        <v>90</v>
      </c>
      <c r="E2644">
        <v>34</v>
      </c>
      <c r="F2644">
        <v>300</v>
      </c>
      <c r="G2644">
        <v>33.700000000000003</v>
      </c>
      <c r="H2644">
        <v>0.46700000000000003</v>
      </c>
      <c r="I2644">
        <v>58</v>
      </c>
      <c r="J2644">
        <v>1</v>
      </c>
      <c r="K2644" t="str">
        <f t="shared" si="82"/>
        <v>Senior</v>
      </c>
      <c r="L2644" t="str">
        <f t="shared" si="83"/>
        <v>Obese</v>
      </c>
    </row>
    <row r="2645" spans="1:12" x14ac:dyDescent="0.2">
      <c r="A2645">
        <v>2644</v>
      </c>
      <c r="B2645">
        <v>7</v>
      </c>
      <c r="C2645">
        <v>150</v>
      </c>
      <c r="D2645">
        <v>66</v>
      </c>
      <c r="E2645">
        <v>42</v>
      </c>
      <c r="F2645">
        <v>342</v>
      </c>
      <c r="G2645">
        <v>34.700000000000003</v>
      </c>
      <c r="H2645">
        <v>0.71799999999999997</v>
      </c>
      <c r="I2645">
        <v>42</v>
      </c>
      <c r="J2645">
        <v>0</v>
      </c>
      <c r="K2645" t="str">
        <f t="shared" si="82"/>
        <v>Middle-Aged</v>
      </c>
      <c r="L2645" t="str">
        <f t="shared" si="83"/>
        <v>Obese</v>
      </c>
    </row>
    <row r="2646" spans="1:12" x14ac:dyDescent="0.2">
      <c r="A2646">
        <v>2645</v>
      </c>
      <c r="B2646">
        <v>1</v>
      </c>
      <c r="C2646">
        <v>73</v>
      </c>
      <c r="D2646">
        <v>50</v>
      </c>
      <c r="E2646">
        <v>10</v>
      </c>
      <c r="F2646">
        <v>0</v>
      </c>
      <c r="G2646">
        <v>23</v>
      </c>
      <c r="H2646">
        <v>0.248</v>
      </c>
      <c r="I2646">
        <v>21</v>
      </c>
      <c r="J2646">
        <v>0</v>
      </c>
      <c r="K2646" t="str">
        <f t="shared" si="82"/>
        <v>Young</v>
      </c>
      <c r="L2646" t="str">
        <f t="shared" si="83"/>
        <v>Normal</v>
      </c>
    </row>
    <row r="2647" spans="1:12" x14ac:dyDescent="0.2">
      <c r="A2647">
        <v>2646</v>
      </c>
      <c r="B2647">
        <v>7</v>
      </c>
      <c r="C2647">
        <v>187</v>
      </c>
      <c r="D2647">
        <v>68</v>
      </c>
      <c r="E2647">
        <v>39</v>
      </c>
      <c r="F2647">
        <v>304</v>
      </c>
      <c r="G2647">
        <v>37.700000000000003</v>
      </c>
      <c r="H2647">
        <v>0.254</v>
      </c>
      <c r="I2647">
        <v>41</v>
      </c>
      <c r="J2647">
        <v>1</v>
      </c>
      <c r="K2647" t="str">
        <f t="shared" si="82"/>
        <v>Middle-Aged</v>
      </c>
      <c r="L2647" t="str">
        <f t="shared" si="83"/>
        <v>Obese</v>
      </c>
    </row>
    <row r="2648" spans="1:12" x14ac:dyDescent="0.2">
      <c r="A2648">
        <v>2647</v>
      </c>
      <c r="B2648">
        <v>0</v>
      </c>
      <c r="C2648">
        <v>100</v>
      </c>
      <c r="D2648">
        <v>88</v>
      </c>
      <c r="E2648">
        <v>60</v>
      </c>
      <c r="F2648">
        <v>110</v>
      </c>
      <c r="G2648">
        <v>46.8</v>
      </c>
      <c r="H2648">
        <v>0.96199999999999997</v>
      </c>
      <c r="I2648">
        <v>31</v>
      </c>
      <c r="J2648">
        <v>0</v>
      </c>
      <c r="K2648" t="str">
        <f t="shared" si="82"/>
        <v>Middle-Aged</v>
      </c>
      <c r="L2648" t="str">
        <f t="shared" si="83"/>
        <v>Obese</v>
      </c>
    </row>
    <row r="2649" spans="1:12" x14ac:dyDescent="0.2">
      <c r="A2649">
        <v>2648</v>
      </c>
      <c r="B2649">
        <v>0</v>
      </c>
      <c r="C2649">
        <v>146</v>
      </c>
      <c r="D2649">
        <v>82</v>
      </c>
      <c r="E2649">
        <v>0</v>
      </c>
      <c r="F2649">
        <v>0</v>
      </c>
      <c r="G2649">
        <v>40.5</v>
      </c>
      <c r="H2649">
        <v>1.7809999999999999</v>
      </c>
      <c r="I2649">
        <v>44</v>
      </c>
      <c r="J2649">
        <v>0</v>
      </c>
      <c r="K2649" t="str">
        <f t="shared" si="82"/>
        <v>Middle-Aged</v>
      </c>
      <c r="L2649" t="str">
        <f t="shared" si="83"/>
        <v>Obese</v>
      </c>
    </row>
    <row r="2650" spans="1:12" x14ac:dyDescent="0.2">
      <c r="A2650">
        <v>2649</v>
      </c>
      <c r="B2650">
        <v>0</v>
      </c>
      <c r="C2650">
        <v>105</v>
      </c>
      <c r="D2650">
        <v>64</v>
      </c>
      <c r="E2650">
        <v>41</v>
      </c>
      <c r="F2650">
        <v>142</v>
      </c>
      <c r="G2650">
        <v>41.5</v>
      </c>
      <c r="H2650">
        <v>0.17299999999999999</v>
      </c>
      <c r="I2650">
        <v>22</v>
      </c>
      <c r="J2650">
        <v>0</v>
      </c>
      <c r="K2650" t="str">
        <f t="shared" si="82"/>
        <v>Young</v>
      </c>
      <c r="L2650" t="str">
        <f t="shared" si="83"/>
        <v>Obese</v>
      </c>
    </row>
    <row r="2651" spans="1:12" x14ac:dyDescent="0.2">
      <c r="A2651">
        <v>2650</v>
      </c>
      <c r="B2651">
        <v>2</v>
      </c>
      <c r="C2651">
        <v>84</v>
      </c>
      <c r="D2651">
        <v>121</v>
      </c>
      <c r="E2651">
        <v>0</v>
      </c>
      <c r="F2651">
        <v>0</v>
      </c>
      <c r="G2651">
        <v>121</v>
      </c>
      <c r="H2651">
        <v>0.30399999999999999</v>
      </c>
      <c r="I2651">
        <v>21</v>
      </c>
      <c r="J2651">
        <v>0</v>
      </c>
      <c r="K2651" t="str">
        <f t="shared" si="82"/>
        <v>Young</v>
      </c>
      <c r="L2651" t="str">
        <f t="shared" si="83"/>
        <v>Obese</v>
      </c>
    </row>
    <row r="2652" spans="1:12" x14ac:dyDescent="0.2">
      <c r="A2652">
        <v>2651</v>
      </c>
      <c r="B2652">
        <v>8</v>
      </c>
      <c r="C2652">
        <v>133</v>
      </c>
      <c r="D2652">
        <v>72</v>
      </c>
      <c r="E2652">
        <v>0</v>
      </c>
      <c r="F2652">
        <v>0</v>
      </c>
      <c r="G2652">
        <v>32.9</v>
      </c>
      <c r="H2652">
        <v>0.27</v>
      </c>
      <c r="I2652">
        <v>39</v>
      </c>
      <c r="J2652">
        <v>1</v>
      </c>
      <c r="K2652" t="str">
        <f t="shared" si="82"/>
        <v>Middle-Aged</v>
      </c>
      <c r="L2652" t="str">
        <f t="shared" si="83"/>
        <v>Obese</v>
      </c>
    </row>
    <row r="2653" spans="1:12" x14ac:dyDescent="0.2">
      <c r="A2653">
        <v>2652</v>
      </c>
      <c r="B2653">
        <v>5</v>
      </c>
      <c r="C2653">
        <v>44</v>
      </c>
      <c r="D2653">
        <v>62</v>
      </c>
      <c r="E2653">
        <v>0</v>
      </c>
      <c r="F2653">
        <v>0</v>
      </c>
      <c r="G2653">
        <v>25</v>
      </c>
      <c r="H2653">
        <v>0.58699999999999997</v>
      </c>
      <c r="I2653">
        <v>36</v>
      </c>
      <c r="J2653">
        <v>0</v>
      </c>
      <c r="K2653" t="str">
        <f t="shared" si="82"/>
        <v>Middle-Aged</v>
      </c>
      <c r="L2653" t="str">
        <f t="shared" si="83"/>
        <v>Overweight</v>
      </c>
    </row>
    <row r="2654" spans="1:12" x14ac:dyDescent="0.2">
      <c r="A2654">
        <v>2653</v>
      </c>
      <c r="B2654">
        <v>2</v>
      </c>
      <c r="C2654">
        <v>141</v>
      </c>
      <c r="D2654">
        <v>58</v>
      </c>
      <c r="E2654">
        <v>34</v>
      </c>
      <c r="F2654">
        <v>128</v>
      </c>
      <c r="G2654">
        <v>25.4</v>
      </c>
      <c r="H2654">
        <v>0.69899999999999995</v>
      </c>
      <c r="I2654">
        <v>24</v>
      </c>
      <c r="J2654">
        <v>0</v>
      </c>
      <c r="K2654" t="str">
        <f t="shared" si="82"/>
        <v>Young</v>
      </c>
      <c r="L2654" t="str">
        <f t="shared" si="83"/>
        <v>Overweight</v>
      </c>
    </row>
    <row r="2655" spans="1:12" x14ac:dyDescent="0.2">
      <c r="A2655">
        <v>2654</v>
      </c>
      <c r="B2655">
        <v>7</v>
      </c>
      <c r="C2655">
        <v>114</v>
      </c>
      <c r="D2655">
        <v>66</v>
      </c>
      <c r="E2655">
        <v>0</v>
      </c>
      <c r="F2655">
        <v>0</v>
      </c>
      <c r="G2655">
        <v>32.799999999999997</v>
      </c>
      <c r="H2655">
        <v>0.25800000000000001</v>
      </c>
      <c r="I2655">
        <v>42</v>
      </c>
      <c r="J2655">
        <v>1</v>
      </c>
      <c r="K2655" t="str">
        <f t="shared" si="82"/>
        <v>Middle-Aged</v>
      </c>
      <c r="L2655" t="str">
        <f t="shared" si="83"/>
        <v>Obese</v>
      </c>
    </row>
    <row r="2656" spans="1:12" x14ac:dyDescent="0.2">
      <c r="A2656">
        <v>2655</v>
      </c>
      <c r="B2656">
        <v>5</v>
      </c>
      <c r="C2656">
        <v>99</v>
      </c>
      <c r="D2656">
        <v>74</v>
      </c>
      <c r="E2656">
        <v>27</v>
      </c>
      <c r="F2656">
        <v>0</v>
      </c>
      <c r="G2656">
        <v>29</v>
      </c>
      <c r="H2656">
        <v>0.20300000000000001</v>
      </c>
      <c r="I2656">
        <v>32</v>
      </c>
      <c r="J2656">
        <v>0</v>
      </c>
      <c r="K2656" t="str">
        <f t="shared" si="82"/>
        <v>Middle-Aged</v>
      </c>
      <c r="L2656" t="str">
        <f t="shared" si="83"/>
        <v>Overweight</v>
      </c>
    </row>
    <row r="2657" spans="1:12" x14ac:dyDescent="0.2">
      <c r="A2657">
        <v>2656</v>
      </c>
      <c r="B2657">
        <v>0</v>
      </c>
      <c r="C2657">
        <v>109</v>
      </c>
      <c r="D2657">
        <v>88</v>
      </c>
      <c r="E2657">
        <v>30</v>
      </c>
      <c r="F2657">
        <v>0</v>
      </c>
      <c r="G2657">
        <v>32.5</v>
      </c>
      <c r="H2657">
        <v>0.85499999999999998</v>
      </c>
      <c r="I2657">
        <v>38</v>
      </c>
      <c r="J2657">
        <v>1</v>
      </c>
      <c r="K2657" t="str">
        <f t="shared" si="82"/>
        <v>Middle-Aged</v>
      </c>
      <c r="L2657" t="str">
        <f t="shared" si="83"/>
        <v>Obese</v>
      </c>
    </row>
    <row r="2658" spans="1:12" x14ac:dyDescent="0.2">
      <c r="A2658">
        <v>2657</v>
      </c>
      <c r="B2658">
        <v>2</v>
      </c>
      <c r="C2658">
        <v>109</v>
      </c>
      <c r="D2658">
        <v>92</v>
      </c>
      <c r="E2658">
        <v>0</v>
      </c>
      <c r="F2658">
        <v>0</v>
      </c>
      <c r="G2658">
        <v>42.7</v>
      </c>
      <c r="H2658">
        <v>0.84499999999999997</v>
      </c>
      <c r="I2658">
        <v>54</v>
      </c>
      <c r="J2658">
        <v>0</v>
      </c>
      <c r="K2658" t="str">
        <f t="shared" si="82"/>
        <v>Senior</v>
      </c>
      <c r="L2658" t="str">
        <f t="shared" si="83"/>
        <v>Obese</v>
      </c>
    </row>
    <row r="2659" spans="1:12" x14ac:dyDescent="0.2">
      <c r="A2659">
        <v>2658</v>
      </c>
      <c r="B2659">
        <v>1</v>
      </c>
      <c r="C2659">
        <v>95</v>
      </c>
      <c r="D2659">
        <v>66</v>
      </c>
      <c r="E2659">
        <v>13</v>
      </c>
      <c r="F2659">
        <v>38</v>
      </c>
      <c r="G2659">
        <v>19.600000000000001</v>
      </c>
      <c r="H2659">
        <v>0.33400000000000002</v>
      </c>
      <c r="I2659">
        <v>25</v>
      </c>
      <c r="J2659">
        <v>0</v>
      </c>
      <c r="K2659" t="str">
        <f t="shared" si="82"/>
        <v>Young</v>
      </c>
      <c r="L2659" t="str">
        <f t="shared" si="83"/>
        <v>Normal</v>
      </c>
    </row>
    <row r="2660" spans="1:12" x14ac:dyDescent="0.2">
      <c r="A2660">
        <v>2659</v>
      </c>
      <c r="B2660">
        <v>4</v>
      </c>
      <c r="C2660">
        <v>146</v>
      </c>
      <c r="D2660">
        <v>85</v>
      </c>
      <c r="E2660">
        <v>27</v>
      </c>
      <c r="F2660">
        <v>100</v>
      </c>
      <c r="G2660">
        <v>28.9</v>
      </c>
      <c r="H2660">
        <v>0.189</v>
      </c>
      <c r="I2660">
        <v>27</v>
      </c>
      <c r="J2660">
        <v>0</v>
      </c>
      <c r="K2660" t="str">
        <f t="shared" si="82"/>
        <v>Young</v>
      </c>
      <c r="L2660" t="str">
        <f t="shared" si="83"/>
        <v>Overweight</v>
      </c>
    </row>
    <row r="2661" spans="1:12" x14ac:dyDescent="0.2">
      <c r="A2661">
        <v>2660</v>
      </c>
      <c r="B2661">
        <v>2</v>
      </c>
      <c r="C2661">
        <v>100</v>
      </c>
      <c r="D2661">
        <v>66</v>
      </c>
      <c r="E2661">
        <v>20</v>
      </c>
      <c r="F2661">
        <v>90</v>
      </c>
      <c r="G2661">
        <v>32.9</v>
      </c>
      <c r="H2661">
        <v>0.86699999999999999</v>
      </c>
      <c r="I2661">
        <v>28</v>
      </c>
      <c r="J2661">
        <v>1</v>
      </c>
      <c r="K2661" t="str">
        <f t="shared" si="82"/>
        <v>Young</v>
      </c>
      <c r="L2661" t="str">
        <f t="shared" si="83"/>
        <v>Obese</v>
      </c>
    </row>
    <row r="2662" spans="1:12" x14ac:dyDescent="0.2">
      <c r="A2662">
        <v>2661</v>
      </c>
      <c r="B2662">
        <v>5</v>
      </c>
      <c r="C2662">
        <v>139</v>
      </c>
      <c r="D2662">
        <v>64</v>
      </c>
      <c r="E2662">
        <v>35</v>
      </c>
      <c r="F2662">
        <v>140</v>
      </c>
      <c r="G2662">
        <v>28.6</v>
      </c>
      <c r="H2662">
        <v>0.41099999999999998</v>
      </c>
      <c r="I2662">
        <v>26</v>
      </c>
      <c r="J2662">
        <v>0</v>
      </c>
      <c r="K2662" t="str">
        <f t="shared" si="82"/>
        <v>Young</v>
      </c>
      <c r="L2662" t="str">
        <f t="shared" si="83"/>
        <v>Overweight</v>
      </c>
    </row>
    <row r="2663" spans="1:12" x14ac:dyDescent="0.2">
      <c r="A2663">
        <v>2662</v>
      </c>
      <c r="B2663">
        <v>13</v>
      </c>
      <c r="C2663">
        <v>126</v>
      </c>
      <c r="D2663">
        <v>90</v>
      </c>
      <c r="E2663">
        <v>0</v>
      </c>
      <c r="F2663">
        <v>0</v>
      </c>
      <c r="G2663">
        <v>43.4</v>
      </c>
      <c r="H2663">
        <v>0.58299999999999996</v>
      </c>
      <c r="I2663">
        <v>42</v>
      </c>
      <c r="J2663">
        <v>1</v>
      </c>
      <c r="K2663" t="str">
        <f t="shared" si="82"/>
        <v>Middle-Aged</v>
      </c>
      <c r="L2663" t="str">
        <f t="shared" si="83"/>
        <v>Obese</v>
      </c>
    </row>
    <row r="2664" spans="1:12" x14ac:dyDescent="0.2">
      <c r="A2664">
        <v>2663</v>
      </c>
      <c r="B2664">
        <v>4</v>
      </c>
      <c r="C2664">
        <v>129</v>
      </c>
      <c r="D2664">
        <v>86</v>
      </c>
      <c r="E2664">
        <v>20</v>
      </c>
      <c r="F2664">
        <v>270</v>
      </c>
      <c r="G2664">
        <v>35.1</v>
      </c>
      <c r="H2664">
        <v>0.23100000000000001</v>
      </c>
      <c r="I2664">
        <v>23</v>
      </c>
      <c r="J2664">
        <v>0</v>
      </c>
      <c r="K2664" t="str">
        <f t="shared" si="82"/>
        <v>Young</v>
      </c>
      <c r="L2664" t="str">
        <f t="shared" si="83"/>
        <v>Obese</v>
      </c>
    </row>
    <row r="2665" spans="1:12" x14ac:dyDescent="0.2">
      <c r="A2665">
        <v>2664</v>
      </c>
      <c r="B2665">
        <v>1</v>
      </c>
      <c r="C2665">
        <v>79</v>
      </c>
      <c r="D2665">
        <v>75</v>
      </c>
      <c r="E2665">
        <v>30</v>
      </c>
      <c r="F2665">
        <v>0</v>
      </c>
      <c r="G2665">
        <v>32</v>
      </c>
      <c r="H2665">
        <v>0.39600000000000002</v>
      </c>
      <c r="I2665">
        <v>22</v>
      </c>
      <c r="J2665">
        <v>0</v>
      </c>
      <c r="K2665" t="str">
        <f t="shared" si="82"/>
        <v>Young</v>
      </c>
      <c r="L2665" t="str">
        <f t="shared" si="83"/>
        <v>Obese</v>
      </c>
    </row>
    <row r="2666" spans="1:12" x14ac:dyDescent="0.2">
      <c r="A2666">
        <v>2665</v>
      </c>
      <c r="B2666">
        <v>1</v>
      </c>
      <c r="C2666">
        <v>121</v>
      </c>
      <c r="D2666">
        <v>48</v>
      </c>
      <c r="E2666">
        <v>20</v>
      </c>
      <c r="F2666">
        <v>0</v>
      </c>
      <c r="G2666">
        <v>24.7</v>
      </c>
      <c r="H2666">
        <v>0.14000000000000001</v>
      </c>
      <c r="I2666">
        <v>22</v>
      </c>
      <c r="J2666">
        <v>0</v>
      </c>
      <c r="K2666" t="str">
        <f t="shared" si="82"/>
        <v>Young</v>
      </c>
      <c r="L2666" t="str">
        <f t="shared" si="83"/>
        <v>Normal</v>
      </c>
    </row>
    <row r="2667" spans="1:12" x14ac:dyDescent="0.2">
      <c r="A2667">
        <v>2666</v>
      </c>
      <c r="B2667">
        <v>7</v>
      </c>
      <c r="C2667">
        <v>62</v>
      </c>
      <c r="D2667">
        <v>78</v>
      </c>
      <c r="E2667">
        <v>0</v>
      </c>
      <c r="F2667">
        <v>0</v>
      </c>
      <c r="G2667">
        <v>32.6</v>
      </c>
      <c r="H2667">
        <v>0.39100000000000001</v>
      </c>
      <c r="I2667">
        <v>41</v>
      </c>
      <c r="J2667">
        <v>0</v>
      </c>
      <c r="K2667" t="str">
        <f t="shared" si="82"/>
        <v>Middle-Aged</v>
      </c>
      <c r="L2667" t="str">
        <f t="shared" si="83"/>
        <v>Obese</v>
      </c>
    </row>
    <row r="2668" spans="1:12" x14ac:dyDescent="0.2">
      <c r="A2668">
        <v>2667</v>
      </c>
      <c r="B2668">
        <v>5</v>
      </c>
      <c r="C2668">
        <v>95</v>
      </c>
      <c r="D2668">
        <v>72</v>
      </c>
      <c r="E2668">
        <v>33</v>
      </c>
      <c r="F2668">
        <v>0</v>
      </c>
      <c r="G2668">
        <v>37.700000000000003</v>
      </c>
      <c r="H2668">
        <v>0.37</v>
      </c>
      <c r="I2668">
        <v>27</v>
      </c>
      <c r="J2668">
        <v>0</v>
      </c>
      <c r="K2668" t="str">
        <f t="shared" si="82"/>
        <v>Young</v>
      </c>
      <c r="L2668" t="str">
        <f t="shared" si="83"/>
        <v>Obese</v>
      </c>
    </row>
    <row r="2669" spans="1:12" x14ac:dyDescent="0.2">
      <c r="A2669">
        <v>2668</v>
      </c>
      <c r="B2669">
        <v>0</v>
      </c>
      <c r="C2669">
        <v>131</v>
      </c>
      <c r="D2669">
        <v>121</v>
      </c>
      <c r="E2669">
        <v>0</v>
      </c>
      <c r="F2669">
        <v>0</v>
      </c>
      <c r="G2669">
        <v>43.2</v>
      </c>
      <c r="H2669">
        <v>0.27</v>
      </c>
      <c r="I2669">
        <v>26</v>
      </c>
      <c r="J2669">
        <v>1</v>
      </c>
      <c r="K2669" t="str">
        <f t="shared" si="82"/>
        <v>Young</v>
      </c>
      <c r="L2669" t="str">
        <f t="shared" si="83"/>
        <v>Obese</v>
      </c>
    </row>
    <row r="2670" spans="1:12" x14ac:dyDescent="0.2">
      <c r="A2670">
        <v>2669</v>
      </c>
      <c r="B2670">
        <v>2</v>
      </c>
      <c r="C2670">
        <v>112</v>
      </c>
      <c r="D2670">
        <v>66</v>
      </c>
      <c r="E2670">
        <v>22</v>
      </c>
      <c r="F2670">
        <v>0</v>
      </c>
      <c r="G2670">
        <v>25</v>
      </c>
      <c r="H2670">
        <v>0.307</v>
      </c>
      <c r="I2670">
        <v>24</v>
      </c>
      <c r="J2670">
        <v>0</v>
      </c>
      <c r="K2670" t="str">
        <f t="shared" si="82"/>
        <v>Young</v>
      </c>
      <c r="L2670" t="str">
        <f t="shared" si="83"/>
        <v>Overweight</v>
      </c>
    </row>
    <row r="2671" spans="1:12" x14ac:dyDescent="0.2">
      <c r="A2671">
        <v>2670</v>
      </c>
      <c r="B2671">
        <v>3</v>
      </c>
      <c r="C2671">
        <v>113</v>
      </c>
      <c r="D2671">
        <v>44</v>
      </c>
      <c r="E2671">
        <v>13</v>
      </c>
      <c r="F2671">
        <v>0</v>
      </c>
      <c r="G2671">
        <v>22.4</v>
      </c>
      <c r="H2671">
        <v>0.14000000000000001</v>
      </c>
      <c r="I2671">
        <v>22</v>
      </c>
      <c r="J2671">
        <v>0</v>
      </c>
      <c r="K2671" t="str">
        <f t="shared" si="82"/>
        <v>Young</v>
      </c>
      <c r="L2671" t="str">
        <f t="shared" si="83"/>
        <v>Normal</v>
      </c>
    </row>
    <row r="2672" spans="1:12" x14ac:dyDescent="0.2">
      <c r="A2672">
        <v>2671</v>
      </c>
      <c r="B2672">
        <v>2</v>
      </c>
      <c r="C2672">
        <v>74</v>
      </c>
      <c r="D2672">
        <v>121</v>
      </c>
      <c r="E2672">
        <v>0</v>
      </c>
      <c r="F2672">
        <v>0</v>
      </c>
      <c r="G2672">
        <v>121</v>
      </c>
      <c r="H2672">
        <v>0.10199999999999999</v>
      </c>
      <c r="I2672">
        <v>22</v>
      </c>
      <c r="J2672">
        <v>0</v>
      </c>
      <c r="K2672" t="str">
        <f t="shared" si="82"/>
        <v>Young</v>
      </c>
      <c r="L2672" t="str">
        <f t="shared" si="83"/>
        <v>Obese</v>
      </c>
    </row>
    <row r="2673" spans="1:12" x14ac:dyDescent="0.2">
      <c r="A2673">
        <v>2672</v>
      </c>
      <c r="B2673">
        <v>7</v>
      </c>
      <c r="C2673">
        <v>83</v>
      </c>
      <c r="D2673">
        <v>78</v>
      </c>
      <c r="E2673">
        <v>26</v>
      </c>
      <c r="F2673">
        <v>71</v>
      </c>
      <c r="G2673">
        <v>29.3</v>
      </c>
      <c r="H2673">
        <v>0.76700000000000002</v>
      </c>
      <c r="I2673">
        <v>36</v>
      </c>
      <c r="J2673">
        <v>0</v>
      </c>
      <c r="K2673" t="str">
        <f t="shared" si="82"/>
        <v>Middle-Aged</v>
      </c>
      <c r="L2673" t="str">
        <f t="shared" si="83"/>
        <v>Overweight</v>
      </c>
    </row>
    <row r="2674" spans="1:12" x14ac:dyDescent="0.2">
      <c r="A2674">
        <v>2673</v>
      </c>
      <c r="B2674">
        <v>0</v>
      </c>
      <c r="C2674">
        <v>101</v>
      </c>
      <c r="D2674">
        <v>65</v>
      </c>
      <c r="E2674">
        <v>28</v>
      </c>
      <c r="F2674">
        <v>0</v>
      </c>
      <c r="G2674">
        <v>24.6</v>
      </c>
      <c r="H2674">
        <v>0.23699999999999999</v>
      </c>
      <c r="I2674">
        <v>22</v>
      </c>
      <c r="J2674">
        <v>0</v>
      </c>
      <c r="K2674" t="str">
        <f t="shared" si="82"/>
        <v>Young</v>
      </c>
      <c r="L2674" t="str">
        <f t="shared" si="83"/>
        <v>Normal</v>
      </c>
    </row>
    <row r="2675" spans="1:12" x14ac:dyDescent="0.2">
      <c r="A2675">
        <v>2674</v>
      </c>
      <c r="B2675">
        <v>5</v>
      </c>
      <c r="C2675">
        <v>137</v>
      </c>
      <c r="D2675">
        <v>108</v>
      </c>
      <c r="E2675">
        <v>0</v>
      </c>
      <c r="F2675">
        <v>0</v>
      </c>
      <c r="G2675">
        <v>48.8</v>
      </c>
      <c r="H2675">
        <v>0.22700000000000001</v>
      </c>
      <c r="I2675">
        <v>37</v>
      </c>
      <c r="J2675">
        <v>1</v>
      </c>
      <c r="K2675" t="str">
        <f t="shared" si="82"/>
        <v>Middle-Aged</v>
      </c>
      <c r="L2675" t="str">
        <f t="shared" si="83"/>
        <v>Obese</v>
      </c>
    </row>
    <row r="2676" spans="1:12" x14ac:dyDescent="0.2">
      <c r="A2676">
        <v>2675</v>
      </c>
      <c r="B2676">
        <v>2</v>
      </c>
      <c r="C2676">
        <v>110</v>
      </c>
      <c r="D2676">
        <v>74</v>
      </c>
      <c r="E2676">
        <v>29</v>
      </c>
      <c r="F2676">
        <v>125</v>
      </c>
      <c r="G2676">
        <v>32.4</v>
      </c>
      <c r="H2676">
        <v>0.69799999999999995</v>
      </c>
      <c r="I2676">
        <v>27</v>
      </c>
      <c r="J2676">
        <v>0</v>
      </c>
      <c r="K2676" t="str">
        <f t="shared" si="82"/>
        <v>Young</v>
      </c>
      <c r="L2676" t="str">
        <f t="shared" si="83"/>
        <v>Obese</v>
      </c>
    </row>
    <row r="2677" spans="1:12" x14ac:dyDescent="0.2">
      <c r="A2677">
        <v>2676</v>
      </c>
      <c r="B2677">
        <v>13</v>
      </c>
      <c r="C2677">
        <v>106</v>
      </c>
      <c r="D2677">
        <v>72</v>
      </c>
      <c r="E2677">
        <v>54</v>
      </c>
      <c r="F2677">
        <v>0</v>
      </c>
      <c r="G2677">
        <v>36.6</v>
      </c>
      <c r="H2677">
        <v>0.17799999999999999</v>
      </c>
      <c r="I2677">
        <v>45</v>
      </c>
      <c r="J2677">
        <v>0</v>
      </c>
      <c r="K2677" t="str">
        <f t="shared" si="82"/>
        <v>Senior</v>
      </c>
      <c r="L2677" t="str">
        <f t="shared" si="83"/>
        <v>Obese</v>
      </c>
    </row>
    <row r="2678" spans="1:12" x14ac:dyDescent="0.2">
      <c r="A2678">
        <v>2677</v>
      </c>
      <c r="B2678">
        <v>2</v>
      </c>
      <c r="C2678">
        <v>100</v>
      </c>
      <c r="D2678">
        <v>68</v>
      </c>
      <c r="E2678">
        <v>25</v>
      </c>
      <c r="F2678">
        <v>71</v>
      </c>
      <c r="G2678">
        <v>38.5</v>
      </c>
      <c r="H2678">
        <v>0.32400000000000001</v>
      </c>
      <c r="I2678">
        <v>26</v>
      </c>
      <c r="J2678">
        <v>0</v>
      </c>
      <c r="K2678" t="str">
        <f t="shared" si="82"/>
        <v>Young</v>
      </c>
      <c r="L2678" t="str">
        <f t="shared" si="83"/>
        <v>Obese</v>
      </c>
    </row>
    <row r="2679" spans="1:12" x14ac:dyDescent="0.2">
      <c r="A2679">
        <v>2678</v>
      </c>
      <c r="B2679">
        <v>15</v>
      </c>
      <c r="C2679">
        <v>136</v>
      </c>
      <c r="D2679">
        <v>70</v>
      </c>
      <c r="E2679">
        <v>32</v>
      </c>
      <c r="F2679">
        <v>110</v>
      </c>
      <c r="G2679">
        <v>37.1</v>
      </c>
      <c r="H2679">
        <v>0.153</v>
      </c>
      <c r="I2679">
        <v>43</v>
      </c>
      <c r="J2679">
        <v>1</v>
      </c>
      <c r="K2679" t="str">
        <f t="shared" si="82"/>
        <v>Middle-Aged</v>
      </c>
      <c r="L2679" t="str">
        <f t="shared" si="83"/>
        <v>Obese</v>
      </c>
    </row>
    <row r="2680" spans="1:12" x14ac:dyDescent="0.2">
      <c r="A2680">
        <v>2679</v>
      </c>
      <c r="B2680">
        <v>1</v>
      </c>
      <c r="C2680">
        <v>107</v>
      </c>
      <c r="D2680">
        <v>68</v>
      </c>
      <c r="E2680">
        <v>19</v>
      </c>
      <c r="F2680">
        <v>0</v>
      </c>
      <c r="G2680">
        <v>26.5</v>
      </c>
      <c r="H2680">
        <v>0.16500000000000001</v>
      </c>
      <c r="I2680">
        <v>24</v>
      </c>
      <c r="J2680">
        <v>0</v>
      </c>
      <c r="K2680" t="str">
        <f t="shared" si="82"/>
        <v>Young</v>
      </c>
      <c r="L2680" t="str">
        <f t="shared" si="83"/>
        <v>Overweight</v>
      </c>
    </row>
    <row r="2681" spans="1:12" x14ac:dyDescent="0.2">
      <c r="A2681">
        <v>2680</v>
      </c>
      <c r="B2681">
        <v>1</v>
      </c>
      <c r="C2681">
        <v>80</v>
      </c>
      <c r="D2681">
        <v>55</v>
      </c>
      <c r="E2681">
        <v>0</v>
      </c>
      <c r="F2681">
        <v>0</v>
      </c>
      <c r="G2681">
        <v>19.100000000000001</v>
      </c>
      <c r="H2681">
        <v>0.25800000000000001</v>
      </c>
      <c r="I2681">
        <v>21</v>
      </c>
      <c r="J2681">
        <v>0</v>
      </c>
      <c r="K2681" t="str">
        <f t="shared" si="82"/>
        <v>Young</v>
      </c>
      <c r="L2681" t="str">
        <f t="shared" si="83"/>
        <v>Normal</v>
      </c>
    </row>
    <row r="2682" spans="1:12" x14ac:dyDescent="0.2">
      <c r="A2682">
        <v>2681</v>
      </c>
      <c r="B2682">
        <v>4</v>
      </c>
      <c r="C2682">
        <v>123</v>
      </c>
      <c r="D2682">
        <v>80</v>
      </c>
      <c r="E2682">
        <v>15</v>
      </c>
      <c r="F2682">
        <v>176</v>
      </c>
      <c r="G2682">
        <v>32</v>
      </c>
      <c r="H2682">
        <v>0.443</v>
      </c>
      <c r="I2682">
        <v>34</v>
      </c>
      <c r="J2682">
        <v>0</v>
      </c>
      <c r="K2682" t="str">
        <f t="shared" si="82"/>
        <v>Middle-Aged</v>
      </c>
      <c r="L2682" t="str">
        <f t="shared" si="83"/>
        <v>Obese</v>
      </c>
    </row>
    <row r="2683" spans="1:12" x14ac:dyDescent="0.2">
      <c r="A2683">
        <v>2682</v>
      </c>
      <c r="B2683">
        <v>7</v>
      </c>
      <c r="C2683">
        <v>81</v>
      </c>
      <c r="D2683">
        <v>78</v>
      </c>
      <c r="E2683">
        <v>40</v>
      </c>
      <c r="F2683">
        <v>48</v>
      </c>
      <c r="G2683">
        <v>46.7</v>
      </c>
      <c r="H2683">
        <v>0.26100000000000001</v>
      </c>
      <c r="I2683">
        <v>42</v>
      </c>
      <c r="J2683">
        <v>0</v>
      </c>
      <c r="K2683" t="str">
        <f t="shared" si="82"/>
        <v>Middle-Aged</v>
      </c>
      <c r="L2683" t="str">
        <f t="shared" si="83"/>
        <v>Obese</v>
      </c>
    </row>
    <row r="2684" spans="1:12" x14ac:dyDescent="0.2">
      <c r="A2684">
        <v>2683</v>
      </c>
      <c r="B2684">
        <v>4</v>
      </c>
      <c r="C2684">
        <v>134</v>
      </c>
      <c r="D2684">
        <v>72</v>
      </c>
      <c r="E2684">
        <v>0</v>
      </c>
      <c r="F2684">
        <v>0</v>
      </c>
      <c r="G2684">
        <v>23.8</v>
      </c>
      <c r="H2684">
        <v>0.27700000000000002</v>
      </c>
      <c r="I2684">
        <v>60</v>
      </c>
      <c r="J2684">
        <v>1</v>
      </c>
      <c r="K2684" t="str">
        <f t="shared" si="82"/>
        <v>Senior</v>
      </c>
      <c r="L2684" t="str">
        <f t="shared" si="83"/>
        <v>Normal</v>
      </c>
    </row>
    <row r="2685" spans="1:12" x14ac:dyDescent="0.2">
      <c r="A2685">
        <v>2684</v>
      </c>
      <c r="B2685">
        <v>2</v>
      </c>
      <c r="C2685">
        <v>142</v>
      </c>
      <c r="D2685">
        <v>82</v>
      </c>
      <c r="E2685">
        <v>18</v>
      </c>
      <c r="F2685">
        <v>64</v>
      </c>
      <c r="G2685">
        <v>24.7</v>
      </c>
      <c r="H2685">
        <v>0.76100000000000001</v>
      </c>
      <c r="I2685">
        <v>21</v>
      </c>
      <c r="J2685">
        <v>0</v>
      </c>
      <c r="K2685" t="str">
        <f t="shared" si="82"/>
        <v>Young</v>
      </c>
      <c r="L2685" t="str">
        <f t="shared" si="83"/>
        <v>Normal</v>
      </c>
    </row>
    <row r="2686" spans="1:12" x14ac:dyDescent="0.2">
      <c r="A2686">
        <v>2685</v>
      </c>
      <c r="B2686">
        <v>6</v>
      </c>
      <c r="C2686">
        <v>144</v>
      </c>
      <c r="D2686">
        <v>72</v>
      </c>
      <c r="E2686">
        <v>27</v>
      </c>
      <c r="F2686">
        <v>228</v>
      </c>
      <c r="G2686">
        <v>33.9</v>
      </c>
      <c r="H2686">
        <v>0.255</v>
      </c>
      <c r="I2686">
        <v>40</v>
      </c>
      <c r="J2686">
        <v>0</v>
      </c>
      <c r="K2686" t="str">
        <f t="shared" si="82"/>
        <v>Middle-Aged</v>
      </c>
      <c r="L2686" t="str">
        <f t="shared" si="83"/>
        <v>Obese</v>
      </c>
    </row>
    <row r="2687" spans="1:12" x14ac:dyDescent="0.2">
      <c r="A2687">
        <v>2686</v>
      </c>
      <c r="B2687">
        <v>2</v>
      </c>
      <c r="C2687">
        <v>92</v>
      </c>
      <c r="D2687">
        <v>62</v>
      </c>
      <c r="E2687">
        <v>28</v>
      </c>
      <c r="F2687">
        <v>0</v>
      </c>
      <c r="G2687">
        <v>31.6</v>
      </c>
      <c r="H2687">
        <v>0.13</v>
      </c>
      <c r="I2687">
        <v>24</v>
      </c>
      <c r="J2687">
        <v>0</v>
      </c>
      <c r="K2687" t="str">
        <f t="shared" si="82"/>
        <v>Young</v>
      </c>
      <c r="L2687" t="str">
        <f t="shared" si="83"/>
        <v>Obese</v>
      </c>
    </row>
    <row r="2688" spans="1:12" x14ac:dyDescent="0.2">
      <c r="A2688">
        <v>2687</v>
      </c>
      <c r="B2688">
        <v>1</v>
      </c>
      <c r="C2688">
        <v>71</v>
      </c>
      <c r="D2688">
        <v>48</v>
      </c>
      <c r="E2688">
        <v>18</v>
      </c>
      <c r="F2688">
        <v>76</v>
      </c>
      <c r="G2688">
        <v>20.399999999999999</v>
      </c>
      <c r="H2688">
        <v>0.32300000000000001</v>
      </c>
      <c r="I2688">
        <v>22</v>
      </c>
      <c r="J2688">
        <v>0</v>
      </c>
      <c r="K2688" t="str">
        <f t="shared" si="82"/>
        <v>Young</v>
      </c>
      <c r="L2688" t="str">
        <f t="shared" si="83"/>
        <v>Normal</v>
      </c>
    </row>
    <row r="2689" spans="1:12" x14ac:dyDescent="0.2">
      <c r="A2689">
        <v>2688</v>
      </c>
      <c r="B2689">
        <v>6</v>
      </c>
      <c r="C2689">
        <v>93</v>
      </c>
      <c r="D2689">
        <v>50</v>
      </c>
      <c r="E2689">
        <v>30</v>
      </c>
      <c r="F2689">
        <v>64</v>
      </c>
      <c r="G2689">
        <v>28.7</v>
      </c>
      <c r="H2689">
        <v>0.35599999999999998</v>
      </c>
      <c r="I2689">
        <v>23</v>
      </c>
      <c r="J2689">
        <v>0</v>
      </c>
      <c r="K2689" t="str">
        <f t="shared" si="82"/>
        <v>Young</v>
      </c>
      <c r="L2689" t="str">
        <f t="shared" si="83"/>
        <v>Overweight</v>
      </c>
    </row>
    <row r="2690" spans="1:12" x14ac:dyDescent="0.2">
      <c r="A2690">
        <v>2689</v>
      </c>
      <c r="B2690">
        <v>1</v>
      </c>
      <c r="C2690">
        <v>122</v>
      </c>
      <c r="D2690">
        <v>90</v>
      </c>
      <c r="E2690">
        <v>51</v>
      </c>
      <c r="F2690">
        <v>220</v>
      </c>
      <c r="G2690">
        <v>49.7</v>
      </c>
      <c r="H2690">
        <v>0.32500000000000001</v>
      </c>
      <c r="I2690">
        <v>31</v>
      </c>
      <c r="J2690">
        <v>1</v>
      </c>
      <c r="K2690" t="str">
        <f t="shared" si="82"/>
        <v>Middle-Aged</v>
      </c>
      <c r="L2690" t="str">
        <f t="shared" si="83"/>
        <v>Obese</v>
      </c>
    </row>
    <row r="2691" spans="1:12" x14ac:dyDescent="0.2">
      <c r="A2691">
        <v>2690</v>
      </c>
      <c r="B2691">
        <v>1</v>
      </c>
      <c r="C2691">
        <v>163</v>
      </c>
      <c r="D2691">
        <v>72</v>
      </c>
      <c r="E2691">
        <v>0</v>
      </c>
      <c r="F2691">
        <v>0</v>
      </c>
      <c r="G2691">
        <v>39</v>
      </c>
      <c r="H2691">
        <v>1.222</v>
      </c>
      <c r="I2691">
        <v>33</v>
      </c>
      <c r="J2691">
        <v>1</v>
      </c>
      <c r="K2691" t="str">
        <f t="shared" ref="K2691:K2754" si="84">IF(I2691&lt;30, "Young", IF( I2691&lt;45, "Middle-Aged", "Senior"))</f>
        <v>Middle-Aged</v>
      </c>
      <c r="L2691" t="str">
        <f t="shared" ref="L2691:L2754" si="85">IF(G2691&lt;18.5, "Underweight", IF(G2691&lt;25, "Normal", IF(G2691&lt;30, "Overweight", "Obese")))</f>
        <v>Obese</v>
      </c>
    </row>
    <row r="2692" spans="1:12" x14ac:dyDescent="0.2">
      <c r="A2692">
        <v>2691</v>
      </c>
      <c r="B2692">
        <v>1</v>
      </c>
      <c r="C2692">
        <v>151</v>
      </c>
      <c r="D2692">
        <v>60</v>
      </c>
      <c r="E2692">
        <v>0</v>
      </c>
      <c r="F2692">
        <v>0</v>
      </c>
      <c r="G2692">
        <v>26.1</v>
      </c>
      <c r="H2692">
        <v>0.17899999999999999</v>
      </c>
      <c r="I2692">
        <v>22</v>
      </c>
      <c r="J2692">
        <v>0</v>
      </c>
      <c r="K2692" t="str">
        <f t="shared" si="84"/>
        <v>Young</v>
      </c>
      <c r="L2692" t="str">
        <f t="shared" si="85"/>
        <v>Overweight</v>
      </c>
    </row>
    <row r="2693" spans="1:12" x14ac:dyDescent="0.2">
      <c r="A2693">
        <v>2692</v>
      </c>
      <c r="B2693">
        <v>0</v>
      </c>
      <c r="C2693">
        <v>125</v>
      </c>
      <c r="D2693">
        <v>96</v>
      </c>
      <c r="E2693">
        <v>0</v>
      </c>
      <c r="F2693">
        <v>0</v>
      </c>
      <c r="G2693">
        <v>22.5</v>
      </c>
      <c r="H2693">
        <v>0.26200000000000001</v>
      </c>
      <c r="I2693">
        <v>21</v>
      </c>
      <c r="J2693">
        <v>0</v>
      </c>
      <c r="K2693" t="str">
        <f t="shared" si="84"/>
        <v>Young</v>
      </c>
      <c r="L2693" t="str">
        <f t="shared" si="85"/>
        <v>Normal</v>
      </c>
    </row>
    <row r="2694" spans="1:12" x14ac:dyDescent="0.2">
      <c r="A2694">
        <v>2693</v>
      </c>
      <c r="B2694">
        <v>1</v>
      </c>
      <c r="C2694">
        <v>81</v>
      </c>
      <c r="D2694">
        <v>72</v>
      </c>
      <c r="E2694">
        <v>18</v>
      </c>
      <c r="F2694">
        <v>40</v>
      </c>
      <c r="G2694">
        <v>26.6</v>
      </c>
      <c r="H2694">
        <v>0.28299999999999997</v>
      </c>
      <c r="I2694">
        <v>24</v>
      </c>
      <c r="J2694">
        <v>0</v>
      </c>
      <c r="K2694" t="str">
        <f t="shared" si="84"/>
        <v>Young</v>
      </c>
      <c r="L2694" t="str">
        <f t="shared" si="85"/>
        <v>Overweight</v>
      </c>
    </row>
    <row r="2695" spans="1:12" x14ac:dyDescent="0.2">
      <c r="A2695">
        <v>2694</v>
      </c>
      <c r="B2695">
        <v>2</v>
      </c>
      <c r="C2695">
        <v>85</v>
      </c>
      <c r="D2695">
        <v>65</v>
      </c>
      <c r="E2695">
        <v>0</v>
      </c>
      <c r="F2695">
        <v>0</v>
      </c>
      <c r="G2695">
        <v>39.6</v>
      </c>
      <c r="H2695">
        <v>0.93</v>
      </c>
      <c r="I2695">
        <v>27</v>
      </c>
      <c r="J2695">
        <v>0</v>
      </c>
      <c r="K2695" t="str">
        <f t="shared" si="84"/>
        <v>Young</v>
      </c>
      <c r="L2695" t="str">
        <f t="shared" si="85"/>
        <v>Obese</v>
      </c>
    </row>
    <row r="2696" spans="1:12" x14ac:dyDescent="0.2">
      <c r="A2696">
        <v>2695</v>
      </c>
      <c r="B2696">
        <v>1</v>
      </c>
      <c r="C2696">
        <v>126</v>
      </c>
      <c r="D2696">
        <v>56</v>
      </c>
      <c r="E2696">
        <v>29</v>
      </c>
      <c r="F2696">
        <v>152</v>
      </c>
      <c r="G2696">
        <v>28.7</v>
      </c>
      <c r="H2696">
        <v>0.80100000000000005</v>
      </c>
      <c r="I2696">
        <v>21</v>
      </c>
      <c r="J2696">
        <v>0</v>
      </c>
      <c r="K2696" t="str">
        <f t="shared" si="84"/>
        <v>Young</v>
      </c>
      <c r="L2696" t="str">
        <f t="shared" si="85"/>
        <v>Overweight</v>
      </c>
    </row>
    <row r="2697" spans="1:12" x14ac:dyDescent="0.2">
      <c r="A2697">
        <v>2696</v>
      </c>
      <c r="B2697">
        <v>1</v>
      </c>
      <c r="C2697">
        <v>96</v>
      </c>
      <c r="D2697">
        <v>122</v>
      </c>
      <c r="E2697">
        <v>0</v>
      </c>
      <c r="F2697">
        <v>0</v>
      </c>
      <c r="G2697">
        <v>22.4</v>
      </c>
      <c r="H2697">
        <v>0.20699999999999999</v>
      </c>
      <c r="I2697">
        <v>27</v>
      </c>
      <c r="J2697">
        <v>0</v>
      </c>
      <c r="K2697" t="str">
        <f t="shared" si="84"/>
        <v>Young</v>
      </c>
      <c r="L2697" t="str">
        <f t="shared" si="85"/>
        <v>Normal</v>
      </c>
    </row>
    <row r="2698" spans="1:12" x14ac:dyDescent="0.2">
      <c r="A2698">
        <v>2697</v>
      </c>
      <c r="B2698">
        <v>4</v>
      </c>
      <c r="C2698">
        <v>144</v>
      </c>
      <c r="D2698">
        <v>58</v>
      </c>
      <c r="E2698">
        <v>28</v>
      </c>
      <c r="F2698">
        <v>140</v>
      </c>
      <c r="G2698">
        <v>29.5</v>
      </c>
      <c r="H2698">
        <v>0.28699999999999998</v>
      </c>
      <c r="I2698">
        <v>37</v>
      </c>
      <c r="J2698">
        <v>0</v>
      </c>
      <c r="K2698" t="str">
        <f t="shared" si="84"/>
        <v>Middle-Aged</v>
      </c>
      <c r="L2698" t="str">
        <f t="shared" si="85"/>
        <v>Overweight</v>
      </c>
    </row>
    <row r="2699" spans="1:12" x14ac:dyDescent="0.2">
      <c r="A2699">
        <v>2698</v>
      </c>
      <c r="B2699">
        <v>3</v>
      </c>
      <c r="C2699">
        <v>83</v>
      </c>
      <c r="D2699">
        <v>58</v>
      </c>
      <c r="E2699">
        <v>31</v>
      </c>
      <c r="F2699">
        <v>18</v>
      </c>
      <c r="G2699">
        <v>34.299999999999997</v>
      </c>
      <c r="H2699">
        <v>0.33600000000000002</v>
      </c>
      <c r="I2699">
        <v>25</v>
      </c>
      <c r="J2699">
        <v>0</v>
      </c>
      <c r="K2699" t="str">
        <f t="shared" si="84"/>
        <v>Young</v>
      </c>
      <c r="L2699" t="str">
        <f t="shared" si="85"/>
        <v>Obese</v>
      </c>
    </row>
    <row r="2700" spans="1:12" x14ac:dyDescent="0.2">
      <c r="A2700">
        <v>2699</v>
      </c>
      <c r="B2700">
        <v>0</v>
      </c>
      <c r="C2700">
        <v>95</v>
      </c>
      <c r="D2700">
        <v>85</v>
      </c>
      <c r="E2700">
        <v>25</v>
      </c>
      <c r="F2700">
        <v>36</v>
      </c>
      <c r="G2700">
        <v>37.4</v>
      </c>
      <c r="H2700">
        <v>0.247</v>
      </c>
      <c r="I2700">
        <v>24</v>
      </c>
      <c r="J2700">
        <v>1</v>
      </c>
      <c r="K2700" t="str">
        <f t="shared" si="84"/>
        <v>Young</v>
      </c>
      <c r="L2700" t="str">
        <f t="shared" si="85"/>
        <v>Obese</v>
      </c>
    </row>
    <row r="2701" spans="1:12" x14ac:dyDescent="0.2">
      <c r="A2701">
        <v>2700</v>
      </c>
      <c r="B2701">
        <v>3</v>
      </c>
      <c r="C2701">
        <v>171</v>
      </c>
      <c r="D2701">
        <v>72</v>
      </c>
      <c r="E2701">
        <v>33</v>
      </c>
      <c r="F2701">
        <v>135</v>
      </c>
      <c r="G2701">
        <v>33.299999999999997</v>
      </c>
      <c r="H2701">
        <v>0.19900000000000001</v>
      </c>
      <c r="I2701">
        <v>24</v>
      </c>
      <c r="J2701">
        <v>1</v>
      </c>
      <c r="K2701" t="str">
        <f t="shared" si="84"/>
        <v>Young</v>
      </c>
      <c r="L2701" t="str">
        <f t="shared" si="85"/>
        <v>Obese</v>
      </c>
    </row>
    <row r="2702" spans="1:12" x14ac:dyDescent="0.2">
      <c r="A2702">
        <v>2701</v>
      </c>
      <c r="B2702">
        <v>8</v>
      </c>
      <c r="C2702">
        <v>155</v>
      </c>
      <c r="D2702">
        <v>62</v>
      </c>
      <c r="E2702">
        <v>26</v>
      </c>
      <c r="F2702">
        <v>495</v>
      </c>
      <c r="G2702">
        <v>34</v>
      </c>
      <c r="H2702">
        <v>0.54300000000000004</v>
      </c>
      <c r="I2702">
        <v>46</v>
      </c>
      <c r="J2702">
        <v>1</v>
      </c>
      <c r="K2702" t="str">
        <f t="shared" si="84"/>
        <v>Senior</v>
      </c>
      <c r="L2702" t="str">
        <f t="shared" si="85"/>
        <v>Obese</v>
      </c>
    </row>
    <row r="2703" spans="1:12" x14ac:dyDescent="0.2">
      <c r="A2703">
        <v>2702</v>
      </c>
      <c r="B2703">
        <v>1</v>
      </c>
      <c r="C2703">
        <v>89</v>
      </c>
      <c r="D2703">
        <v>76</v>
      </c>
      <c r="E2703">
        <v>34</v>
      </c>
      <c r="F2703">
        <v>37</v>
      </c>
      <c r="G2703">
        <v>31.2</v>
      </c>
      <c r="H2703">
        <v>0.192</v>
      </c>
      <c r="I2703">
        <v>23</v>
      </c>
      <c r="J2703">
        <v>0</v>
      </c>
      <c r="K2703" t="str">
        <f t="shared" si="84"/>
        <v>Young</v>
      </c>
      <c r="L2703" t="str">
        <f t="shared" si="85"/>
        <v>Obese</v>
      </c>
    </row>
    <row r="2704" spans="1:12" x14ac:dyDescent="0.2">
      <c r="A2704">
        <v>2703</v>
      </c>
      <c r="B2704">
        <v>4</v>
      </c>
      <c r="C2704">
        <v>76</v>
      </c>
      <c r="D2704">
        <v>62</v>
      </c>
      <c r="E2704">
        <v>0</v>
      </c>
      <c r="F2704">
        <v>0</v>
      </c>
      <c r="G2704">
        <v>34</v>
      </c>
      <c r="H2704">
        <v>0.39100000000000001</v>
      </c>
      <c r="I2704">
        <v>25</v>
      </c>
      <c r="J2704">
        <v>0</v>
      </c>
      <c r="K2704" t="str">
        <f t="shared" si="84"/>
        <v>Young</v>
      </c>
      <c r="L2704" t="str">
        <f t="shared" si="85"/>
        <v>Obese</v>
      </c>
    </row>
    <row r="2705" spans="1:12" x14ac:dyDescent="0.2">
      <c r="A2705">
        <v>2704</v>
      </c>
      <c r="B2705">
        <v>7</v>
      </c>
      <c r="C2705">
        <v>160</v>
      </c>
      <c r="D2705">
        <v>54</v>
      </c>
      <c r="E2705">
        <v>32</v>
      </c>
      <c r="F2705">
        <v>175</v>
      </c>
      <c r="G2705">
        <v>30.5</v>
      </c>
      <c r="H2705">
        <v>0.58799999999999997</v>
      </c>
      <c r="I2705">
        <v>39</v>
      </c>
      <c r="J2705">
        <v>1</v>
      </c>
      <c r="K2705" t="str">
        <f t="shared" si="84"/>
        <v>Middle-Aged</v>
      </c>
      <c r="L2705" t="str">
        <f t="shared" si="85"/>
        <v>Obese</v>
      </c>
    </row>
    <row r="2706" spans="1:12" x14ac:dyDescent="0.2">
      <c r="A2706">
        <v>2705</v>
      </c>
      <c r="B2706">
        <v>4</v>
      </c>
      <c r="C2706">
        <v>146</v>
      </c>
      <c r="D2706">
        <v>92</v>
      </c>
      <c r="E2706">
        <v>0</v>
      </c>
      <c r="F2706">
        <v>0</v>
      </c>
      <c r="G2706">
        <v>31.2</v>
      </c>
      <c r="H2706">
        <v>0.53900000000000003</v>
      </c>
      <c r="I2706">
        <v>61</v>
      </c>
      <c r="J2706">
        <v>1</v>
      </c>
      <c r="K2706" t="str">
        <f t="shared" si="84"/>
        <v>Senior</v>
      </c>
      <c r="L2706" t="str">
        <f t="shared" si="85"/>
        <v>Obese</v>
      </c>
    </row>
    <row r="2707" spans="1:12" x14ac:dyDescent="0.2">
      <c r="A2707">
        <v>2706</v>
      </c>
      <c r="B2707">
        <v>5</v>
      </c>
      <c r="C2707">
        <v>124</v>
      </c>
      <c r="D2707">
        <v>74</v>
      </c>
      <c r="E2707">
        <v>0</v>
      </c>
      <c r="F2707">
        <v>0</v>
      </c>
      <c r="G2707">
        <v>34</v>
      </c>
      <c r="H2707">
        <v>0.22</v>
      </c>
      <c r="I2707">
        <v>38</v>
      </c>
      <c r="J2707">
        <v>1</v>
      </c>
      <c r="K2707" t="str">
        <f t="shared" si="84"/>
        <v>Middle-Aged</v>
      </c>
      <c r="L2707" t="str">
        <f t="shared" si="85"/>
        <v>Obese</v>
      </c>
    </row>
    <row r="2708" spans="1:12" x14ac:dyDescent="0.2">
      <c r="A2708">
        <v>2707</v>
      </c>
      <c r="B2708">
        <v>5</v>
      </c>
      <c r="C2708">
        <v>78</v>
      </c>
      <c r="D2708">
        <v>48</v>
      </c>
      <c r="E2708">
        <v>0</v>
      </c>
      <c r="F2708">
        <v>0</v>
      </c>
      <c r="G2708">
        <v>33.700000000000003</v>
      </c>
      <c r="H2708">
        <v>0.65400000000000003</v>
      </c>
      <c r="I2708">
        <v>25</v>
      </c>
      <c r="J2708">
        <v>0</v>
      </c>
      <c r="K2708" t="str">
        <f t="shared" si="84"/>
        <v>Young</v>
      </c>
      <c r="L2708" t="str">
        <f t="shared" si="85"/>
        <v>Obese</v>
      </c>
    </row>
    <row r="2709" spans="1:12" x14ac:dyDescent="0.2">
      <c r="A2709">
        <v>2708</v>
      </c>
      <c r="B2709">
        <v>4</v>
      </c>
      <c r="C2709">
        <v>97</v>
      </c>
      <c r="D2709">
        <v>60</v>
      </c>
      <c r="E2709">
        <v>23</v>
      </c>
      <c r="F2709">
        <v>0</v>
      </c>
      <c r="G2709">
        <v>28.2</v>
      </c>
      <c r="H2709">
        <v>0.443</v>
      </c>
      <c r="I2709">
        <v>22</v>
      </c>
      <c r="J2709">
        <v>0</v>
      </c>
      <c r="K2709" t="str">
        <f t="shared" si="84"/>
        <v>Young</v>
      </c>
      <c r="L2709" t="str">
        <f t="shared" si="85"/>
        <v>Overweight</v>
      </c>
    </row>
    <row r="2710" spans="1:12" x14ac:dyDescent="0.2">
      <c r="A2710">
        <v>2709</v>
      </c>
      <c r="B2710">
        <v>4</v>
      </c>
      <c r="C2710">
        <v>99</v>
      </c>
      <c r="D2710">
        <v>76</v>
      </c>
      <c r="E2710">
        <v>15</v>
      </c>
      <c r="F2710">
        <v>51</v>
      </c>
      <c r="G2710">
        <v>23.2</v>
      </c>
      <c r="H2710">
        <v>0.223</v>
      </c>
      <c r="I2710">
        <v>21</v>
      </c>
      <c r="J2710">
        <v>0</v>
      </c>
      <c r="K2710" t="str">
        <f t="shared" si="84"/>
        <v>Young</v>
      </c>
      <c r="L2710" t="str">
        <f t="shared" si="85"/>
        <v>Normal</v>
      </c>
    </row>
    <row r="2711" spans="1:12" x14ac:dyDescent="0.2">
      <c r="A2711">
        <v>2710</v>
      </c>
      <c r="B2711">
        <v>0</v>
      </c>
      <c r="C2711">
        <v>162</v>
      </c>
      <c r="D2711">
        <v>76</v>
      </c>
      <c r="E2711">
        <v>56</v>
      </c>
      <c r="F2711">
        <v>100</v>
      </c>
      <c r="G2711">
        <v>53.2</v>
      </c>
      <c r="H2711">
        <v>0.75900000000000001</v>
      </c>
      <c r="I2711">
        <v>25</v>
      </c>
      <c r="J2711">
        <v>1</v>
      </c>
      <c r="K2711" t="str">
        <f t="shared" si="84"/>
        <v>Young</v>
      </c>
      <c r="L2711" t="str">
        <f t="shared" si="85"/>
        <v>Obese</v>
      </c>
    </row>
    <row r="2712" spans="1:12" x14ac:dyDescent="0.2">
      <c r="A2712">
        <v>2711</v>
      </c>
      <c r="B2712">
        <v>6</v>
      </c>
      <c r="C2712">
        <v>111</v>
      </c>
      <c r="D2712">
        <v>64</v>
      </c>
      <c r="E2712">
        <v>39</v>
      </c>
      <c r="F2712">
        <v>0</v>
      </c>
      <c r="G2712">
        <v>34.200000000000003</v>
      </c>
      <c r="H2712">
        <v>0.26</v>
      </c>
      <c r="I2712">
        <v>24</v>
      </c>
      <c r="J2712">
        <v>0</v>
      </c>
      <c r="K2712" t="str">
        <f t="shared" si="84"/>
        <v>Young</v>
      </c>
      <c r="L2712" t="str">
        <f t="shared" si="85"/>
        <v>Obese</v>
      </c>
    </row>
    <row r="2713" spans="1:12" x14ac:dyDescent="0.2">
      <c r="A2713">
        <v>2712</v>
      </c>
      <c r="B2713">
        <v>2</v>
      </c>
      <c r="C2713">
        <v>107</v>
      </c>
      <c r="D2713">
        <v>74</v>
      </c>
      <c r="E2713">
        <v>30</v>
      </c>
      <c r="F2713">
        <v>100</v>
      </c>
      <c r="G2713">
        <v>33.6</v>
      </c>
      <c r="H2713">
        <v>0.40400000000000003</v>
      </c>
      <c r="I2713">
        <v>23</v>
      </c>
      <c r="J2713">
        <v>0</v>
      </c>
      <c r="K2713" t="str">
        <f t="shared" si="84"/>
        <v>Young</v>
      </c>
      <c r="L2713" t="str">
        <f t="shared" si="85"/>
        <v>Obese</v>
      </c>
    </row>
    <row r="2714" spans="1:12" x14ac:dyDescent="0.2">
      <c r="A2714">
        <v>2713</v>
      </c>
      <c r="B2714">
        <v>5</v>
      </c>
      <c r="C2714">
        <v>132</v>
      </c>
      <c r="D2714">
        <v>80</v>
      </c>
      <c r="E2714">
        <v>0</v>
      </c>
      <c r="F2714">
        <v>0</v>
      </c>
      <c r="G2714">
        <v>26.8</v>
      </c>
      <c r="H2714">
        <v>0.186</v>
      </c>
      <c r="I2714">
        <v>69</v>
      </c>
      <c r="J2714">
        <v>0</v>
      </c>
      <c r="K2714" t="str">
        <f t="shared" si="84"/>
        <v>Senior</v>
      </c>
      <c r="L2714" t="str">
        <f t="shared" si="85"/>
        <v>Overweight</v>
      </c>
    </row>
    <row r="2715" spans="1:12" x14ac:dyDescent="0.2">
      <c r="A2715">
        <v>2714</v>
      </c>
      <c r="B2715">
        <v>0</v>
      </c>
      <c r="C2715">
        <v>113</v>
      </c>
      <c r="D2715">
        <v>76</v>
      </c>
      <c r="E2715">
        <v>0</v>
      </c>
      <c r="F2715">
        <v>0</v>
      </c>
      <c r="G2715">
        <v>33.299999999999997</v>
      </c>
      <c r="H2715">
        <v>0.27800000000000002</v>
      </c>
      <c r="I2715">
        <v>23</v>
      </c>
      <c r="J2715">
        <v>1</v>
      </c>
      <c r="K2715" t="str">
        <f t="shared" si="84"/>
        <v>Young</v>
      </c>
      <c r="L2715" t="str">
        <f t="shared" si="85"/>
        <v>Obese</v>
      </c>
    </row>
    <row r="2716" spans="1:12" x14ac:dyDescent="0.2">
      <c r="A2716">
        <v>2715</v>
      </c>
      <c r="B2716">
        <v>1</v>
      </c>
      <c r="C2716">
        <v>88</v>
      </c>
      <c r="D2716">
        <v>30</v>
      </c>
      <c r="E2716">
        <v>42</v>
      </c>
      <c r="F2716">
        <v>99</v>
      </c>
      <c r="G2716">
        <v>55</v>
      </c>
      <c r="H2716">
        <v>0.496</v>
      </c>
      <c r="I2716">
        <v>26</v>
      </c>
      <c r="J2716">
        <v>1</v>
      </c>
      <c r="K2716" t="str">
        <f t="shared" si="84"/>
        <v>Young</v>
      </c>
      <c r="L2716" t="str">
        <f t="shared" si="85"/>
        <v>Obese</v>
      </c>
    </row>
    <row r="2717" spans="1:12" x14ac:dyDescent="0.2">
      <c r="A2717">
        <v>2716</v>
      </c>
      <c r="B2717">
        <v>3</v>
      </c>
      <c r="C2717">
        <v>120</v>
      </c>
      <c r="D2717">
        <v>70</v>
      </c>
      <c r="E2717">
        <v>30</v>
      </c>
      <c r="F2717">
        <v>135</v>
      </c>
      <c r="G2717">
        <v>42.9</v>
      </c>
      <c r="H2717">
        <v>0.45200000000000001</v>
      </c>
      <c r="I2717">
        <v>30</v>
      </c>
      <c r="J2717">
        <v>0</v>
      </c>
      <c r="K2717" t="str">
        <f t="shared" si="84"/>
        <v>Middle-Aged</v>
      </c>
      <c r="L2717" t="str">
        <f t="shared" si="85"/>
        <v>Obese</v>
      </c>
    </row>
    <row r="2718" spans="1:12" x14ac:dyDescent="0.2">
      <c r="A2718">
        <v>2717</v>
      </c>
      <c r="B2718">
        <v>1</v>
      </c>
      <c r="C2718">
        <v>118</v>
      </c>
      <c r="D2718">
        <v>58</v>
      </c>
      <c r="E2718">
        <v>36</v>
      </c>
      <c r="F2718">
        <v>94</v>
      </c>
      <c r="G2718">
        <v>33.299999999999997</v>
      </c>
      <c r="H2718">
        <v>0.26100000000000001</v>
      </c>
      <c r="I2718">
        <v>23</v>
      </c>
      <c r="J2718">
        <v>0</v>
      </c>
      <c r="K2718" t="str">
        <f t="shared" si="84"/>
        <v>Young</v>
      </c>
      <c r="L2718" t="str">
        <f t="shared" si="85"/>
        <v>Obese</v>
      </c>
    </row>
    <row r="2719" spans="1:12" x14ac:dyDescent="0.2">
      <c r="A2719">
        <v>2718</v>
      </c>
      <c r="B2719">
        <v>1</v>
      </c>
      <c r="C2719">
        <v>117</v>
      </c>
      <c r="D2719">
        <v>88</v>
      </c>
      <c r="E2719">
        <v>24</v>
      </c>
      <c r="F2719">
        <v>145</v>
      </c>
      <c r="G2719">
        <v>34.5</v>
      </c>
      <c r="H2719">
        <v>0.40300000000000002</v>
      </c>
      <c r="I2719">
        <v>40</v>
      </c>
      <c r="J2719">
        <v>1</v>
      </c>
      <c r="K2719" t="str">
        <f t="shared" si="84"/>
        <v>Middle-Aged</v>
      </c>
      <c r="L2719" t="str">
        <f t="shared" si="85"/>
        <v>Obese</v>
      </c>
    </row>
    <row r="2720" spans="1:12" x14ac:dyDescent="0.2">
      <c r="A2720">
        <v>2719</v>
      </c>
      <c r="B2720">
        <v>0</v>
      </c>
      <c r="C2720">
        <v>105</v>
      </c>
      <c r="D2720">
        <v>84</v>
      </c>
      <c r="E2720">
        <v>0</v>
      </c>
      <c r="F2720">
        <v>0</v>
      </c>
      <c r="G2720">
        <v>27.9</v>
      </c>
      <c r="H2720">
        <v>0.74099999999999999</v>
      </c>
      <c r="I2720">
        <v>62</v>
      </c>
      <c r="J2720">
        <v>1</v>
      </c>
      <c r="K2720" t="str">
        <f t="shared" si="84"/>
        <v>Senior</v>
      </c>
      <c r="L2720" t="str">
        <f t="shared" si="85"/>
        <v>Overweight</v>
      </c>
    </row>
    <row r="2721" spans="1:12" x14ac:dyDescent="0.2">
      <c r="A2721">
        <v>2720</v>
      </c>
      <c r="B2721">
        <v>4</v>
      </c>
      <c r="C2721">
        <v>173</v>
      </c>
      <c r="D2721">
        <v>70</v>
      </c>
      <c r="E2721">
        <v>14</v>
      </c>
      <c r="F2721">
        <v>168</v>
      </c>
      <c r="G2721">
        <v>29.7</v>
      </c>
      <c r="H2721">
        <v>0.36099999999999999</v>
      </c>
      <c r="I2721">
        <v>33</v>
      </c>
      <c r="J2721">
        <v>1</v>
      </c>
      <c r="K2721" t="str">
        <f t="shared" si="84"/>
        <v>Middle-Aged</v>
      </c>
      <c r="L2721" t="str">
        <f t="shared" si="85"/>
        <v>Overweight</v>
      </c>
    </row>
    <row r="2722" spans="1:12" x14ac:dyDescent="0.2">
      <c r="A2722">
        <v>2721</v>
      </c>
      <c r="B2722">
        <v>9</v>
      </c>
      <c r="C2722">
        <v>122</v>
      </c>
      <c r="D2722">
        <v>56</v>
      </c>
      <c r="E2722">
        <v>0</v>
      </c>
      <c r="F2722">
        <v>0</v>
      </c>
      <c r="G2722">
        <v>33.299999999999997</v>
      </c>
      <c r="H2722">
        <v>1.1140000000000001</v>
      </c>
      <c r="I2722">
        <v>33</v>
      </c>
      <c r="J2722">
        <v>1</v>
      </c>
      <c r="K2722" t="str">
        <f t="shared" si="84"/>
        <v>Middle-Aged</v>
      </c>
      <c r="L2722" t="str">
        <f t="shared" si="85"/>
        <v>Obese</v>
      </c>
    </row>
    <row r="2723" spans="1:12" x14ac:dyDescent="0.2">
      <c r="A2723">
        <v>2722</v>
      </c>
      <c r="B2723">
        <v>3</v>
      </c>
      <c r="C2723">
        <v>170</v>
      </c>
      <c r="D2723">
        <v>64</v>
      </c>
      <c r="E2723">
        <v>37</v>
      </c>
      <c r="F2723">
        <v>225</v>
      </c>
      <c r="G2723">
        <v>34.5</v>
      </c>
      <c r="H2723">
        <v>0.35599999999999998</v>
      </c>
      <c r="I2723">
        <v>30</v>
      </c>
      <c r="J2723">
        <v>1</v>
      </c>
      <c r="K2723" t="str">
        <f t="shared" si="84"/>
        <v>Middle-Aged</v>
      </c>
      <c r="L2723" t="str">
        <f t="shared" si="85"/>
        <v>Obese</v>
      </c>
    </row>
    <row r="2724" spans="1:12" x14ac:dyDescent="0.2">
      <c r="A2724">
        <v>2723</v>
      </c>
      <c r="B2724">
        <v>8</v>
      </c>
      <c r="C2724">
        <v>84</v>
      </c>
      <c r="D2724">
        <v>74</v>
      </c>
      <c r="E2724">
        <v>31</v>
      </c>
      <c r="F2724">
        <v>0</v>
      </c>
      <c r="G2724">
        <v>38.299999999999997</v>
      </c>
      <c r="H2724">
        <v>0.45700000000000002</v>
      </c>
      <c r="I2724">
        <v>39</v>
      </c>
      <c r="J2724">
        <v>0</v>
      </c>
      <c r="K2724" t="str">
        <f t="shared" si="84"/>
        <v>Middle-Aged</v>
      </c>
      <c r="L2724" t="str">
        <f t="shared" si="85"/>
        <v>Obese</v>
      </c>
    </row>
    <row r="2725" spans="1:12" x14ac:dyDescent="0.2">
      <c r="A2725">
        <v>2724</v>
      </c>
      <c r="B2725">
        <v>2</v>
      </c>
      <c r="C2725">
        <v>96</v>
      </c>
      <c r="D2725">
        <v>68</v>
      </c>
      <c r="E2725">
        <v>13</v>
      </c>
      <c r="F2725">
        <v>49</v>
      </c>
      <c r="G2725">
        <v>21.1</v>
      </c>
      <c r="H2725">
        <v>0.64700000000000002</v>
      </c>
      <c r="I2725">
        <v>26</v>
      </c>
      <c r="J2725">
        <v>0</v>
      </c>
      <c r="K2725" t="str">
        <f t="shared" si="84"/>
        <v>Young</v>
      </c>
      <c r="L2725" t="str">
        <f t="shared" si="85"/>
        <v>Normal</v>
      </c>
    </row>
    <row r="2726" spans="1:12" x14ac:dyDescent="0.2">
      <c r="A2726">
        <v>2725</v>
      </c>
      <c r="B2726">
        <v>2</v>
      </c>
      <c r="C2726">
        <v>125</v>
      </c>
      <c r="D2726">
        <v>60</v>
      </c>
      <c r="E2726">
        <v>20</v>
      </c>
      <c r="F2726">
        <v>140</v>
      </c>
      <c r="G2726">
        <v>33.799999999999997</v>
      </c>
      <c r="H2726">
        <v>8.7999999999999995E-2</v>
      </c>
      <c r="I2726">
        <v>31</v>
      </c>
      <c r="J2726">
        <v>0</v>
      </c>
      <c r="K2726" t="str">
        <f t="shared" si="84"/>
        <v>Middle-Aged</v>
      </c>
      <c r="L2726" t="str">
        <f t="shared" si="85"/>
        <v>Obese</v>
      </c>
    </row>
    <row r="2727" spans="1:12" x14ac:dyDescent="0.2">
      <c r="A2727">
        <v>2726</v>
      </c>
      <c r="B2727">
        <v>0</v>
      </c>
      <c r="C2727">
        <v>100</v>
      </c>
      <c r="D2727">
        <v>70</v>
      </c>
      <c r="E2727">
        <v>26</v>
      </c>
      <c r="F2727">
        <v>50</v>
      </c>
      <c r="G2727">
        <v>30.8</v>
      </c>
      <c r="H2727">
        <v>0.59699999999999998</v>
      </c>
      <c r="I2727">
        <v>21</v>
      </c>
      <c r="J2727">
        <v>0</v>
      </c>
      <c r="K2727" t="str">
        <f t="shared" si="84"/>
        <v>Young</v>
      </c>
      <c r="L2727" t="str">
        <f t="shared" si="85"/>
        <v>Obese</v>
      </c>
    </row>
    <row r="2728" spans="1:12" x14ac:dyDescent="0.2">
      <c r="A2728">
        <v>2727</v>
      </c>
      <c r="B2728">
        <v>0</v>
      </c>
      <c r="C2728">
        <v>93</v>
      </c>
      <c r="D2728">
        <v>60</v>
      </c>
      <c r="E2728">
        <v>25</v>
      </c>
      <c r="F2728">
        <v>92</v>
      </c>
      <c r="G2728">
        <v>28.7</v>
      </c>
      <c r="H2728">
        <v>0.53200000000000003</v>
      </c>
      <c r="I2728">
        <v>22</v>
      </c>
      <c r="J2728">
        <v>0</v>
      </c>
      <c r="K2728" t="str">
        <f t="shared" si="84"/>
        <v>Young</v>
      </c>
      <c r="L2728" t="str">
        <f t="shared" si="85"/>
        <v>Overweight</v>
      </c>
    </row>
    <row r="2729" spans="1:12" x14ac:dyDescent="0.2">
      <c r="A2729">
        <v>2728</v>
      </c>
      <c r="B2729">
        <v>0</v>
      </c>
      <c r="C2729">
        <v>129</v>
      </c>
      <c r="D2729">
        <v>80</v>
      </c>
      <c r="E2729">
        <v>0</v>
      </c>
      <c r="F2729">
        <v>0</v>
      </c>
      <c r="G2729">
        <v>31.2</v>
      </c>
      <c r="H2729">
        <v>0.70299999999999996</v>
      </c>
      <c r="I2729">
        <v>29</v>
      </c>
      <c r="J2729">
        <v>0</v>
      </c>
      <c r="K2729" t="str">
        <f t="shared" si="84"/>
        <v>Young</v>
      </c>
      <c r="L2729" t="str">
        <f t="shared" si="85"/>
        <v>Obese</v>
      </c>
    </row>
    <row r="2730" spans="1:12" x14ac:dyDescent="0.2">
      <c r="A2730">
        <v>2729</v>
      </c>
      <c r="B2730">
        <v>5</v>
      </c>
      <c r="C2730">
        <v>105</v>
      </c>
      <c r="D2730">
        <v>72</v>
      </c>
      <c r="E2730">
        <v>29</v>
      </c>
      <c r="F2730">
        <v>325</v>
      </c>
      <c r="G2730">
        <v>36.9</v>
      </c>
      <c r="H2730">
        <v>0.159</v>
      </c>
      <c r="I2730">
        <v>28</v>
      </c>
      <c r="J2730">
        <v>0</v>
      </c>
      <c r="K2730" t="str">
        <f t="shared" si="84"/>
        <v>Young</v>
      </c>
      <c r="L2730" t="str">
        <f t="shared" si="85"/>
        <v>Obese</v>
      </c>
    </row>
    <row r="2731" spans="1:12" x14ac:dyDescent="0.2">
      <c r="A2731">
        <v>2730</v>
      </c>
      <c r="B2731">
        <v>3</v>
      </c>
      <c r="C2731">
        <v>128</v>
      </c>
      <c r="D2731">
        <v>78</v>
      </c>
      <c r="E2731">
        <v>0</v>
      </c>
      <c r="F2731">
        <v>0</v>
      </c>
      <c r="G2731">
        <v>21.1</v>
      </c>
      <c r="H2731">
        <v>0.26800000000000002</v>
      </c>
      <c r="I2731">
        <v>55</v>
      </c>
      <c r="J2731">
        <v>0</v>
      </c>
      <c r="K2731" t="str">
        <f t="shared" si="84"/>
        <v>Senior</v>
      </c>
      <c r="L2731" t="str">
        <f t="shared" si="85"/>
        <v>Normal</v>
      </c>
    </row>
    <row r="2732" spans="1:12" x14ac:dyDescent="0.2">
      <c r="A2732">
        <v>2731</v>
      </c>
      <c r="B2732">
        <v>5</v>
      </c>
      <c r="C2732">
        <v>106</v>
      </c>
      <c r="D2732">
        <v>82</v>
      </c>
      <c r="E2732">
        <v>30</v>
      </c>
      <c r="F2732">
        <v>0</v>
      </c>
      <c r="G2732">
        <v>39.5</v>
      </c>
      <c r="H2732">
        <v>0.28599999999999998</v>
      </c>
      <c r="I2732">
        <v>38</v>
      </c>
      <c r="J2732">
        <v>0</v>
      </c>
      <c r="K2732" t="str">
        <f t="shared" si="84"/>
        <v>Middle-Aged</v>
      </c>
      <c r="L2732" t="str">
        <f t="shared" si="85"/>
        <v>Obese</v>
      </c>
    </row>
    <row r="2733" spans="1:12" x14ac:dyDescent="0.2">
      <c r="A2733">
        <v>2732</v>
      </c>
      <c r="B2733">
        <v>2</v>
      </c>
      <c r="C2733">
        <v>108</v>
      </c>
      <c r="D2733">
        <v>52</v>
      </c>
      <c r="E2733">
        <v>26</v>
      </c>
      <c r="F2733">
        <v>63</v>
      </c>
      <c r="G2733">
        <v>32.5</v>
      </c>
      <c r="H2733">
        <v>0.318</v>
      </c>
      <c r="I2733">
        <v>22</v>
      </c>
      <c r="J2733">
        <v>0</v>
      </c>
      <c r="K2733" t="str">
        <f t="shared" si="84"/>
        <v>Young</v>
      </c>
      <c r="L2733" t="str">
        <f t="shared" si="85"/>
        <v>Obese</v>
      </c>
    </row>
    <row r="2734" spans="1:12" x14ac:dyDescent="0.2">
      <c r="A2734">
        <v>2733</v>
      </c>
      <c r="B2734">
        <v>10</v>
      </c>
      <c r="C2734">
        <v>108</v>
      </c>
      <c r="D2734">
        <v>66</v>
      </c>
      <c r="E2734">
        <v>0</v>
      </c>
      <c r="F2734">
        <v>0</v>
      </c>
      <c r="G2734">
        <v>32.4</v>
      </c>
      <c r="H2734">
        <v>0.27200000000000002</v>
      </c>
      <c r="I2734">
        <v>42</v>
      </c>
      <c r="J2734">
        <v>1</v>
      </c>
      <c r="K2734" t="str">
        <f t="shared" si="84"/>
        <v>Middle-Aged</v>
      </c>
      <c r="L2734" t="str">
        <f t="shared" si="85"/>
        <v>Obese</v>
      </c>
    </row>
    <row r="2735" spans="1:12" x14ac:dyDescent="0.2">
      <c r="A2735">
        <v>2734</v>
      </c>
      <c r="B2735">
        <v>4</v>
      </c>
      <c r="C2735">
        <v>154</v>
      </c>
      <c r="D2735">
        <v>62</v>
      </c>
      <c r="E2735">
        <v>31</v>
      </c>
      <c r="F2735">
        <v>284</v>
      </c>
      <c r="G2735">
        <v>32.799999999999997</v>
      </c>
      <c r="H2735">
        <v>0.23699999999999999</v>
      </c>
      <c r="I2735">
        <v>23</v>
      </c>
      <c r="J2735">
        <v>0</v>
      </c>
      <c r="K2735" t="str">
        <f t="shared" si="84"/>
        <v>Young</v>
      </c>
      <c r="L2735" t="str">
        <f t="shared" si="85"/>
        <v>Obese</v>
      </c>
    </row>
    <row r="2736" spans="1:12" x14ac:dyDescent="0.2">
      <c r="A2736">
        <v>2735</v>
      </c>
      <c r="B2736">
        <v>0</v>
      </c>
      <c r="C2736">
        <v>102</v>
      </c>
      <c r="D2736">
        <v>75</v>
      </c>
      <c r="E2736">
        <v>23</v>
      </c>
      <c r="F2736">
        <v>0</v>
      </c>
      <c r="G2736">
        <v>121</v>
      </c>
      <c r="H2736">
        <v>0.57199999999999995</v>
      </c>
      <c r="I2736">
        <v>21</v>
      </c>
      <c r="J2736">
        <v>0</v>
      </c>
      <c r="K2736" t="str">
        <f t="shared" si="84"/>
        <v>Young</v>
      </c>
      <c r="L2736" t="str">
        <f t="shared" si="85"/>
        <v>Obese</v>
      </c>
    </row>
    <row r="2737" spans="1:12" x14ac:dyDescent="0.2">
      <c r="A2737">
        <v>2736</v>
      </c>
      <c r="B2737">
        <v>9</v>
      </c>
      <c r="C2737">
        <v>57</v>
      </c>
      <c r="D2737">
        <v>80</v>
      </c>
      <c r="E2737">
        <v>37</v>
      </c>
      <c r="F2737">
        <v>0</v>
      </c>
      <c r="G2737">
        <v>32.799999999999997</v>
      </c>
      <c r="H2737">
        <v>9.6000000000000002E-2</v>
      </c>
      <c r="I2737">
        <v>41</v>
      </c>
      <c r="J2737">
        <v>0</v>
      </c>
      <c r="K2737" t="str">
        <f t="shared" si="84"/>
        <v>Middle-Aged</v>
      </c>
      <c r="L2737" t="str">
        <f t="shared" si="85"/>
        <v>Obese</v>
      </c>
    </row>
    <row r="2738" spans="1:12" x14ac:dyDescent="0.2">
      <c r="A2738">
        <v>2737</v>
      </c>
      <c r="B2738">
        <v>2</v>
      </c>
      <c r="C2738">
        <v>106</v>
      </c>
      <c r="D2738">
        <v>64</v>
      </c>
      <c r="E2738">
        <v>35</v>
      </c>
      <c r="F2738">
        <v>119</v>
      </c>
      <c r="G2738">
        <v>30.5</v>
      </c>
      <c r="H2738">
        <v>1.4</v>
      </c>
      <c r="I2738">
        <v>34</v>
      </c>
      <c r="J2738">
        <v>0</v>
      </c>
      <c r="K2738" t="str">
        <f t="shared" si="84"/>
        <v>Middle-Aged</v>
      </c>
      <c r="L2738" t="str">
        <f t="shared" si="85"/>
        <v>Obese</v>
      </c>
    </row>
    <row r="2739" spans="1:12" x14ac:dyDescent="0.2">
      <c r="A2739">
        <v>2738</v>
      </c>
      <c r="B2739">
        <v>5</v>
      </c>
      <c r="C2739">
        <v>147</v>
      </c>
      <c r="D2739">
        <v>78</v>
      </c>
      <c r="E2739">
        <v>0</v>
      </c>
      <c r="F2739">
        <v>0</v>
      </c>
      <c r="G2739">
        <v>33.700000000000003</v>
      </c>
      <c r="H2739">
        <v>0.218</v>
      </c>
      <c r="I2739">
        <v>65</v>
      </c>
      <c r="J2739">
        <v>0</v>
      </c>
      <c r="K2739" t="str">
        <f t="shared" si="84"/>
        <v>Senior</v>
      </c>
      <c r="L2739" t="str">
        <f t="shared" si="85"/>
        <v>Obese</v>
      </c>
    </row>
    <row r="2740" spans="1:12" x14ac:dyDescent="0.2">
      <c r="A2740">
        <v>2739</v>
      </c>
      <c r="B2740">
        <v>2</v>
      </c>
      <c r="C2740">
        <v>90</v>
      </c>
      <c r="D2740">
        <v>70</v>
      </c>
      <c r="E2740">
        <v>17</v>
      </c>
      <c r="F2740">
        <v>0</v>
      </c>
      <c r="G2740">
        <v>27.3</v>
      </c>
      <c r="H2740">
        <v>8.5000000000000006E-2</v>
      </c>
      <c r="I2740">
        <v>22</v>
      </c>
      <c r="J2740">
        <v>0</v>
      </c>
      <c r="K2740" t="str">
        <f t="shared" si="84"/>
        <v>Young</v>
      </c>
      <c r="L2740" t="str">
        <f t="shared" si="85"/>
        <v>Overweight</v>
      </c>
    </row>
    <row r="2741" spans="1:12" x14ac:dyDescent="0.2">
      <c r="A2741">
        <v>2740</v>
      </c>
      <c r="B2741">
        <v>1</v>
      </c>
      <c r="C2741">
        <v>136</v>
      </c>
      <c r="D2741">
        <v>74</v>
      </c>
      <c r="E2741">
        <v>50</v>
      </c>
      <c r="F2741">
        <v>204</v>
      </c>
      <c r="G2741">
        <v>37.4</v>
      </c>
      <c r="H2741">
        <v>0.39900000000000002</v>
      </c>
      <c r="I2741">
        <v>24</v>
      </c>
      <c r="J2741">
        <v>0</v>
      </c>
      <c r="K2741" t="str">
        <f t="shared" si="84"/>
        <v>Young</v>
      </c>
      <c r="L2741" t="str">
        <f t="shared" si="85"/>
        <v>Obese</v>
      </c>
    </row>
    <row r="2742" spans="1:12" x14ac:dyDescent="0.2">
      <c r="A2742">
        <v>2741</v>
      </c>
      <c r="B2742">
        <v>4</v>
      </c>
      <c r="C2742">
        <v>114</v>
      </c>
      <c r="D2742">
        <v>65</v>
      </c>
      <c r="E2742">
        <v>0</v>
      </c>
      <c r="F2742">
        <v>0</v>
      </c>
      <c r="G2742">
        <v>21.9</v>
      </c>
      <c r="H2742">
        <v>0.432</v>
      </c>
      <c r="I2742">
        <v>37</v>
      </c>
      <c r="J2742">
        <v>0</v>
      </c>
      <c r="K2742" t="str">
        <f t="shared" si="84"/>
        <v>Middle-Aged</v>
      </c>
      <c r="L2742" t="str">
        <f t="shared" si="85"/>
        <v>Normal</v>
      </c>
    </row>
    <row r="2743" spans="1:12" x14ac:dyDescent="0.2">
      <c r="A2743">
        <v>2742</v>
      </c>
      <c r="B2743">
        <v>9</v>
      </c>
      <c r="C2743">
        <v>156</v>
      </c>
      <c r="D2743">
        <v>86</v>
      </c>
      <c r="E2743">
        <v>28</v>
      </c>
      <c r="F2743">
        <v>155</v>
      </c>
      <c r="G2743">
        <v>34.299999999999997</v>
      </c>
      <c r="H2743">
        <v>1.1890000000000001</v>
      </c>
      <c r="I2743">
        <v>42</v>
      </c>
      <c r="J2743">
        <v>1</v>
      </c>
      <c r="K2743" t="str">
        <f t="shared" si="84"/>
        <v>Middle-Aged</v>
      </c>
      <c r="L2743" t="str">
        <f t="shared" si="85"/>
        <v>Obese</v>
      </c>
    </row>
    <row r="2744" spans="1:12" x14ac:dyDescent="0.2">
      <c r="A2744">
        <v>2743</v>
      </c>
      <c r="B2744">
        <v>1</v>
      </c>
      <c r="C2744">
        <v>153</v>
      </c>
      <c r="D2744">
        <v>82</v>
      </c>
      <c r="E2744">
        <v>42</v>
      </c>
      <c r="F2744">
        <v>485</v>
      </c>
      <c r="G2744">
        <v>40.6</v>
      </c>
      <c r="H2744">
        <v>0.68700000000000006</v>
      </c>
      <c r="I2744">
        <v>23</v>
      </c>
      <c r="J2744">
        <v>0</v>
      </c>
      <c r="K2744" t="str">
        <f t="shared" si="84"/>
        <v>Young</v>
      </c>
      <c r="L2744" t="str">
        <f t="shared" si="85"/>
        <v>Obese</v>
      </c>
    </row>
    <row r="2745" spans="1:12" x14ac:dyDescent="0.2">
      <c r="A2745">
        <v>2744</v>
      </c>
      <c r="B2745">
        <v>8</v>
      </c>
      <c r="C2745">
        <v>188</v>
      </c>
      <c r="D2745">
        <v>78</v>
      </c>
      <c r="E2745">
        <v>0</v>
      </c>
      <c r="F2745">
        <v>0</v>
      </c>
      <c r="G2745">
        <v>47.9</v>
      </c>
      <c r="H2745">
        <v>0.13700000000000001</v>
      </c>
      <c r="I2745">
        <v>43</v>
      </c>
      <c r="J2745">
        <v>1</v>
      </c>
      <c r="K2745" t="str">
        <f t="shared" si="84"/>
        <v>Middle-Aged</v>
      </c>
      <c r="L2745" t="str">
        <f t="shared" si="85"/>
        <v>Obese</v>
      </c>
    </row>
    <row r="2746" spans="1:12" x14ac:dyDescent="0.2">
      <c r="A2746">
        <v>2745</v>
      </c>
      <c r="B2746">
        <v>7</v>
      </c>
      <c r="C2746">
        <v>152</v>
      </c>
      <c r="D2746">
        <v>88</v>
      </c>
      <c r="E2746">
        <v>44</v>
      </c>
      <c r="F2746">
        <v>0</v>
      </c>
      <c r="G2746">
        <v>50</v>
      </c>
      <c r="H2746">
        <v>0.33700000000000002</v>
      </c>
      <c r="I2746">
        <v>36</v>
      </c>
      <c r="J2746">
        <v>1</v>
      </c>
      <c r="K2746" t="str">
        <f t="shared" si="84"/>
        <v>Middle-Aged</v>
      </c>
      <c r="L2746" t="str">
        <f t="shared" si="85"/>
        <v>Obese</v>
      </c>
    </row>
    <row r="2747" spans="1:12" x14ac:dyDescent="0.2">
      <c r="A2747">
        <v>2746</v>
      </c>
      <c r="B2747">
        <v>2</v>
      </c>
      <c r="C2747">
        <v>99</v>
      </c>
      <c r="D2747">
        <v>52</v>
      </c>
      <c r="E2747">
        <v>15</v>
      </c>
      <c r="F2747">
        <v>94</v>
      </c>
      <c r="G2747">
        <v>24.6</v>
      </c>
      <c r="H2747">
        <v>0.63700000000000001</v>
      </c>
      <c r="I2747">
        <v>21</v>
      </c>
      <c r="J2747">
        <v>0</v>
      </c>
      <c r="K2747" t="str">
        <f t="shared" si="84"/>
        <v>Young</v>
      </c>
      <c r="L2747" t="str">
        <f t="shared" si="85"/>
        <v>Normal</v>
      </c>
    </row>
    <row r="2748" spans="1:12" x14ac:dyDescent="0.2">
      <c r="A2748">
        <v>2747</v>
      </c>
      <c r="B2748">
        <v>1</v>
      </c>
      <c r="C2748">
        <v>109</v>
      </c>
      <c r="D2748">
        <v>56</v>
      </c>
      <c r="E2748">
        <v>21</v>
      </c>
      <c r="F2748">
        <v>135</v>
      </c>
      <c r="G2748">
        <v>25.2</v>
      </c>
      <c r="H2748">
        <v>0.83299999999999996</v>
      </c>
      <c r="I2748">
        <v>23</v>
      </c>
      <c r="J2748">
        <v>0</v>
      </c>
      <c r="K2748" t="str">
        <f t="shared" si="84"/>
        <v>Young</v>
      </c>
      <c r="L2748" t="str">
        <f t="shared" si="85"/>
        <v>Overweight</v>
      </c>
    </row>
    <row r="2749" spans="1:12" x14ac:dyDescent="0.2">
      <c r="A2749">
        <v>2748</v>
      </c>
      <c r="B2749">
        <v>2</v>
      </c>
      <c r="C2749">
        <v>88</v>
      </c>
      <c r="D2749">
        <v>74</v>
      </c>
      <c r="E2749">
        <v>19</v>
      </c>
      <c r="F2749">
        <v>53</v>
      </c>
      <c r="G2749">
        <v>29</v>
      </c>
      <c r="H2749">
        <v>0.22900000000000001</v>
      </c>
      <c r="I2749">
        <v>22</v>
      </c>
      <c r="J2749">
        <v>0</v>
      </c>
      <c r="K2749" t="str">
        <f t="shared" si="84"/>
        <v>Young</v>
      </c>
      <c r="L2749" t="str">
        <f t="shared" si="85"/>
        <v>Overweight</v>
      </c>
    </row>
    <row r="2750" spans="1:12" x14ac:dyDescent="0.2">
      <c r="A2750">
        <v>2749</v>
      </c>
      <c r="B2750">
        <v>17</v>
      </c>
      <c r="C2750">
        <v>163</v>
      </c>
      <c r="D2750">
        <v>72</v>
      </c>
      <c r="E2750">
        <v>41</v>
      </c>
      <c r="F2750">
        <v>114</v>
      </c>
      <c r="G2750">
        <v>40.9</v>
      </c>
      <c r="H2750">
        <v>0.81699999999999995</v>
      </c>
      <c r="I2750">
        <v>47</v>
      </c>
      <c r="J2750">
        <v>1</v>
      </c>
      <c r="K2750" t="str">
        <f t="shared" si="84"/>
        <v>Senior</v>
      </c>
      <c r="L2750" t="str">
        <f t="shared" si="85"/>
        <v>Obese</v>
      </c>
    </row>
    <row r="2751" spans="1:12" x14ac:dyDescent="0.2">
      <c r="A2751">
        <v>2750</v>
      </c>
      <c r="B2751">
        <v>4</v>
      </c>
      <c r="C2751">
        <v>151</v>
      </c>
      <c r="D2751">
        <v>90</v>
      </c>
      <c r="E2751">
        <v>38</v>
      </c>
      <c r="F2751">
        <v>0</v>
      </c>
      <c r="G2751">
        <v>29.7</v>
      </c>
      <c r="H2751">
        <v>0.29399999999999998</v>
      </c>
      <c r="I2751">
        <v>36</v>
      </c>
      <c r="J2751">
        <v>0</v>
      </c>
      <c r="K2751" t="str">
        <f t="shared" si="84"/>
        <v>Middle-Aged</v>
      </c>
      <c r="L2751" t="str">
        <f t="shared" si="85"/>
        <v>Overweight</v>
      </c>
    </row>
    <row r="2752" spans="1:12" x14ac:dyDescent="0.2">
      <c r="A2752">
        <v>2751</v>
      </c>
      <c r="B2752">
        <v>7</v>
      </c>
      <c r="C2752">
        <v>102</v>
      </c>
      <c r="D2752">
        <v>74</v>
      </c>
      <c r="E2752">
        <v>40</v>
      </c>
      <c r="F2752">
        <v>105</v>
      </c>
      <c r="G2752">
        <v>37.200000000000003</v>
      </c>
      <c r="H2752">
        <v>0.20399999999999999</v>
      </c>
      <c r="I2752">
        <v>45</v>
      </c>
      <c r="J2752">
        <v>0</v>
      </c>
      <c r="K2752" t="str">
        <f t="shared" si="84"/>
        <v>Senior</v>
      </c>
      <c r="L2752" t="str">
        <f t="shared" si="85"/>
        <v>Obese</v>
      </c>
    </row>
    <row r="2753" spans="1:12" x14ac:dyDescent="0.2">
      <c r="A2753">
        <v>2752</v>
      </c>
      <c r="B2753">
        <v>0</v>
      </c>
      <c r="C2753">
        <v>114</v>
      </c>
      <c r="D2753">
        <v>80</v>
      </c>
      <c r="E2753">
        <v>34</v>
      </c>
      <c r="F2753">
        <v>285</v>
      </c>
      <c r="G2753">
        <v>44.2</v>
      </c>
      <c r="H2753">
        <v>0.16700000000000001</v>
      </c>
      <c r="I2753">
        <v>27</v>
      </c>
      <c r="J2753">
        <v>0</v>
      </c>
      <c r="K2753" t="str">
        <f t="shared" si="84"/>
        <v>Young</v>
      </c>
      <c r="L2753" t="str">
        <f t="shared" si="85"/>
        <v>Obese</v>
      </c>
    </row>
    <row r="2754" spans="1:12" x14ac:dyDescent="0.2">
      <c r="A2754">
        <v>2753</v>
      </c>
      <c r="B2754">
        <v>2</v>
      </c>
      <c r="C2754">
        <v>100</v>
      </c>
      <c r="D2754">
        <v>64</v>
      </c>
      <c r="E2754">
        <v>23</v>
      </c>
      <c r="F2754">
        <v>0</v>
      </c>
      <c r="G2754">
        <v>29.7</v>
      </c>
      <c r="H2754">
        <v>0.36799999999999999</v>
      </c>
      <c r="I2754">
        <v>21</v>
      </c>
      <c r="J2754">
        <v>0</v>
      </c>
      <c r="K2754" t="str">
        <f t="shared" si="84"/>
        <v>Young</v>
      </c>
      <c r="L2754" t="str">
        <f t="shared" si="85"/>
        <v>Overweight</v>
      </c>
    </row>
    <row r="2755" spans="1:12" x14ac:dyDescent="0.2">
      <c r="A2755">
        <v>2754</v>
      </c>
      <c r="B2755">
        <v>0</v>
      </c>
      <c r="C2755">
        <v>131</v>
      </c>
      <c r="D2755">
        <v>88</v>
      </c>
      <c r="E2755">
        <v>0</v>
      </c>
      <c r="F2755">
        <v>0</v>
      </c>
      <c r="G2755">
        <v>31.6</v>
      </c>
      <c r="H2755">
        <v>0.74299999999999999</v>
      </c>
      <c r="I2755">
        <v>32</v>
      </c>
      <c r="J2755">
        <v>1</v>
      </c>
      <c r="K2755" t="str">
        <f t="shared" ref="K2755:K2769" si="86">IF(I2755&lt;30, "Young", IF( I2755&lt;45, "Middle-Aged", "Senior"))</f>
        <v>Middle-Aged</v>
      </c>
      <c r="L2755" t="str">
        <f t="shared" ref="L2755:L2769" si="87">IF(G2755&lt;18.5, "Underweight", IF(G2755&lt;25, "Normal", IF(G2755&lt;30, "Overweight", "Obese")))</f>
        <v>Obese</v>
      </c>
    </row>
    <row r="2756" spans="1:12" x14ac:dyDescent="0.2">
      <c r="A2756">
        <v>2755</v>
      </c>
      <c r="B2756">
        <v>6</v>
      </c>
      <c r="C2756">
        <v>104</v>
      </c>
      <c r="D2756">
        <v>74</v>
      </c>
      <c r="E2756">
        <v>18</v>
      </c>
      <c r="F2756">
        <v>156</v>
      </c>
      <c r="G2756">
        <v>29.9</v>
      </c>
      <c r="H2756">
        <v>0.72199999999999998</v>
      </c>
      <c r="I2756">
        <v>41</v>
      </c>
      <c r="J2756">
        <v>1</v>
      </c>
      <c r="K2756" t="str">
        <f t="shared" si="86"/>
        <v>Middle-Aged</v>
      </c>
      <c r="L2756" t="str">
        <f t="shared" si="87"/>
        <v>Overweight</v>
      </c>
    </row>
    <row r="2757" spans="1:12" x14ac:dyDescent="0.2">
      <c r="A2757">
        <v>2756</v>
      </c>
      <c r="B2757">
        <v>3</v>
      </c>
      <c r="C2757">
        <v>148</v>
      </c>
      <c r="D2757">
        <v>66</v>
      </c>
      <c r="E2757">
        <v>25</v>
      </c>
      <c r="F2757">
        <v>0</v>
      </c>
      <c r="G2757">
        <v>32.5</v>
      </c>
      <c r="H2757">
        <v>0.25600000000000001</v>
      </c>
      <c r="I2757">
        <v>22</v>
      </c>
      <c r="J2757">
        <v>0</v>
      </c>
      <c r="K2757" t="str">
        <f t="shared" si="86"/>
        <v>Young</v>
      </c>
      <c r="L2757" t="str">
        <f t="shared" si="87"/>
        <v>Obese</v>
      </c>
    </row>
    <row r="2758" spans="1:12" x14ac:dyDescent="0.2">
      <c r="A2758">
        <v>2757</v>
      </c>
      <c r="B2758">
        <v>4</v>
      </c>
      <c r="C2758">
        <v>120</v>
      </c>
      <c r="D2758">
        <v>68</v>
      </c>
      <c r="E2758">
        <v>0</v>
      </c>
      <c r="F2758">
        <v>0</v>
      </c>
      <c r="G2758">
        <v>29.6</v>
      </c>
      <c r="H2758">
        <v>0.70899999999999996</v>
      </c>
      <c r="I2758">
        <v>34</v>
      </c>
      <c r="J2758">
        <v>0</v>
      </c>
      <c r="K2758" t="str">
        <f t="shared" si="86"/>
        <v>Middle-Aged</v>
      </c>
      <c r="L2758" t="str">
        <f t="shared" si="87"/>
        <v>Overweight</v>
      </c>
    </row>
    <row r="2759" spans="1:12" x14ac:dyDescent="0.2">
      <c r="A2759">
        <v>2758</v>
      </c>
      <c r="B2759">
        <v>4</v>
      </c>
      <c r="C2759">
        <v>110</v>
      </c>
      <c r="D2759">
        <v>66</v>
      </c>
      <c r="E2759">
        <v>0</v>
      </c>
      <c r="F2759">
        <v>0</v>
      </c>
      <c r="G2759">
        <v>31.9</v>
      </c>
      <c r="H2759">
        <v>0.47099999999999997</v>
      </c>
      <c r="I2759">
        <v>29</v>
      </c>
      <c r="J2759">
        <v>0</v>
      </c>
      <c r="K2759" t="str">
        <f t="shared" si="86"/>
        <v>Young</v>
      </c>
      <c r="L2759" t="str">
        <f t="shared" si="87"/>
        <v>Obese</v>
      </c>
    </row>
    <row r="2760" spans="1:12" x14ac:dyDescent="0.2">
      <c r="A2760">
        <v>2759</v>
      </c>
      <c r="B2760">
        <v>3</v>
      </c>
      <c r="C2760">
        <v>111</v>
      </c>
      <c r="D2760">
        <v>90</v>
      </c>
      <c r="E2760">
        <v>12</v>
      </c>
      <c r="F2760">
        <v>78</v>
      </c>
      <c r="G2760">
        <v>28.4</v>
      </c>
      <c r="H2760">
        <v>0.495</v>
      </c>
      <c r="I2760">
        <v>29</v>
      </c>
      <c r="J2760">
        <v>0</v>
      </c>
      <c r="K2760" t="str">
        <f t="shared" si="86"/>
        <v>Young</v>
      </c>
      <c r="L2760" t="str">
        <f t="shared" si="87"/>
        <v>Overweight</v>
      </c>
    </row>
    <row r="2761" spans="1:12" x14ac:dyDescent="0.2">
      <c r="A2761">
        <v>2760</v>
      </c>
      <c r="B2761">
        <v>6</v>
      </c>
      <c r="C2761">
        <v>102</v>
      </c>
      <c r="D2761">
        <v>82</v>
      </c>
      <c r="E2761">
        <v>0</v>
      </c>
      <c r="F2761">
        <v>0</v>
      </c>
      <c r="G2761">
        <v>30.8</v>
      </c>
      <c r="H2761">
        <v>0.18</v>
      </c>
      <c r="I2761">
        <v>36</v>
      </c>
      <c r="J2761">
        <v>1</v>
      </c>
      <c r="K2761" t="str">
        <f t="shared" si="86"/>
        <v>Middle-Aged</v>
      </c>
      <c r="L2761" t="str">
        <f t="shared" si="87"/>
        <v>Obese</v>
      </c>
    </row>
    <row r="2762" spans="1:12" x14ac:dyDescent="0.2">
      <c r="A2762">
        <v>2761</v>
      </c>
      <c r="B2762">
        <v>6</v>
      </c>
      <c r="C2762">
        <v>134</v>
      </c>
      <c r="D2762">
        <v>70</v>
      </c>
      <c r="E2762">
        <v>23</v>
      </c>
      <c r="F2762">
        <v>130</v>
      </c>
      <c r="G2762">
        <v>35.4</v>
      </c>
      <c r="H2762">
        <v>0.54200000000000004</v>
      </c>
      <c r="I2762">
        <v>29</v>
      </c>
      <c r="J2762">
        <v>1</v>
      </c>
      <c r="K2762" t="str">
        <f t="shared" si="86"/>
        <v>Young</v>
      </c>
      <c r="L2762" t="str">
        <f t="shared" si="87"/>
        <v>Obese</v>
      </c>
    </row>
    <row r="2763" spans="1:12" x14ac:dyDescent="0.2">
      <c r="A2763">
        <v>2762</v>
      </c>
      <c r="B2763">
        <v>2</v>
      </c>
      <c r="C2763">
        <v>87</v>
      </c>
      <c r="D2763">
        <v>121</v>
      </c>
      <c r="E2763">
        <v>23</v>
      </c>
      <c r="F2763">
        <v>0</v>
      </c>
      <c r="G2763">
        <v>28.9</v>
      </c>
      <c r="H2763">
        <v>0.77300000000000002</v>
      </c>
      <c r="I2763">
        <v>25</v>
      </c>
      <c r="J2763">
        <v>0</v>
      </c>
      <c r="K2763" t="str">
        <f t="shared" si="86"/>
        <v>Young</v>
      </c>
      <c r="L2763" t="str">
        <f t="shared" si="87"/>
        <v>Overweight</v>
      </c>
    </row>
    <row r="2764" spans="1:12" x14ac:dyDescent="0.2">
      <c r="A2764">
        <v>2763</v>
      </c>
      <c r="B2764">
        <v>1</v>
      </c>
      <c r="C2764">
        <v>79</v>
      </c>
      <c r="D2764">
        <v>60</v>
      </c>
      <c r="E2764">
        <v>42</v>
      </c>
      <c r="F2764">
        <v>48</v>
      </c>
      <c r="G2764">
        <v>43.5</v>
      </c>
      <c r="H2764">
        <v>0.67800000000000005</v>
      </c>
      <c r="I2764">
        <v>23</v>
      </c>
      <c r="J2764">
        <v>0</v>
      </c>
      <c r="K2764" t="str">
        <f t="shared" si="86"/>
        <v>Young</v>
      </c>
      <c r="L2764" t="str">
        <f t="shared" si="87"/>
        <v>Obese</v>
      </c>
    </row>
    <row r="2765" spans="1:12" x14ac:dyDescent="0.2">
      <c r="A2765">
        <v>2764</v>
      </c>
      <c r="B2765">
        <v>2</v>
      </c>
      <c r="C2765">
        <v>75</v>
      </c>
      <c r="D2765">
        <v>64</v>
      </c>
      <c r="E2765">
        <v>24</v>
      </c>
      <c r="F2765">
        <v>55</v>
      </c>
      <c r="G2765">
        <v>29.7</v>
      </c>
      <c r="H2765">
        <v>0.37</v>
      </c>
      <c r="I2765">
        <v>33</v>
      </c>
      <c r="J2765">
        <v>0</v>
      </c>
      <c r="K2765" t="str">
        <f t="shared" si="86"/>
        <v>Middle-Aged</v>
      </c>
      <c r="L2765" t="str">
        <f t="shared" si="87"/>
        <v>Overweight</v>
      </c>
    </row>
    <row r="2766" spans="1:12" x14ac:dyDescent="0.2">
      <c r="A2766">
        <v>2765</v>
      </c>
      <c r="B2766">
        <v>8</v>
      </c>
      <c r="C2766">
        <v>179</v>
      </c>
      <c r="D2766">
        <v>72</v>
      </c>
      <c r="E2766">
        <v>42</v>
      </c>
      <c r="F2766">
        <v>130</v>
      </c>
      <c r="G2766">
        <v>32.700000000000003</v>
      </c>
      <c r="H2766">
        <v>0.71899999999999997</v>
      </c>
      <c r="I2766">
        <v>36</v>
      </c>
      <c r="J2766">
        <v>1</v>
      </c>
      <c r="K2766" t="str">
        <f t="shared" si="86"/>
        <v>Middle-Aged</v>
      </c>
      <c r="L2766" t="str">
        <f t="shared" si="87"/>
        <v>Obese</v>
      </c>
    </row>
    <row r="2767" spans="1:12" x14ac:dyDescent="0.2">
      <c r="A2767">
        <v>2766</v>
      </c>
      <c r="B2767">
        <v>6</v>
      </c>
      <c r="C2767">
        <v>85</v>
      </c>
      <c r="D2767">
        <v>78</v>
      </c>
      <c r="E2767">
        <v>0</v>
      </c>
      <c r="F2767">
        <v>0</v>
      </c>
      <c r="G2767">
        <v>31.2</v>
      </c>
      <c r="H2767">
        <v>0.38200000000000001</v>
      </c>
      <c r="I2767">
        <v>42</v>
      </c>
      <c r="J2767">
        <v>0</v>
      </c>
      <c r="K2767" t="str">
        <f t="shared" si="86"/>
        <v>Middle-Aged</v>
      </c>
      <c r="L2767" t="str">
        <f t="shared" si="87"/>
        <v>Obese</v>
      </c>
    </row>
    <row r="2768" spans="1:12" x14ac:dyDescent="0.2">
      <c r="A2768">
        <v>2767</v>
      </c>
      <c r="B2768">
        <v>0</v>
      </c>
      <c r="C2768">
        <v>129</v>
      </c>
      <c r="D2768">
        <v>110</v>
      </c>
      <c r="E2768">
        <v>46</v>
      </c>
      <c r="F2768">
        <v>130</v>
      </c>
      <c r="G2768">
        <v>67.099999999999994</v>
      </c>
      <c r="H2768">
        <v>0.31900000000000001</v>
      </c>
      <c r="I2768">
        <v>26</v>
      </c>
      <c r="J2768">
        <v>1</v>
      </c>
      <c r="K2768" t="str">
        <f t="shared" si="86"/>
        <v>Young</v>
      </c>
      <c r="L2768" t="str">
        <f t="shared" si="87"/>
        <v>Obese</v>
      </c>
    </row>
    <row r="2769" spans="1:12" x14ac:dyDescent="0.2">
      <c r="A2769">
        <v>2768</v>
      </c>
      <c r="B2769">
        <v>2</v>
      </c>
      <c r="C2769">
        <v>81</v>
      </c>
      <c r="D2769">
        <v>72</v>
      </c>
      <c r="E2769">
        <v>15</v>
      </c>
      <c r="F2769">
        <v>76</v>
      </c>
      <c r="G2769">
        <v>30.1</v>
      </c>
      <c r="H2769">
        <v>0.54700000000000004</v>
      </c>
      <c r="I2769">
        <v>25</v>
      </c>
      <c r="J2769">
        <v>0</v>
      </c>
      <c r="K2769" t="str">
        <f t="shared" si="86"/>
        <v>Young</v>
      </c>
      <c r="L2769" t="str">
        <f t="shared" si="87"/>
        <v>Obese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Garg</dc:creator>
  <cp:lastModifiedBy>Dhruv Garg</cp:lastModifiedBy>
  <dcterms:created xsi:type="dcterms:W3CDTF">2026-03-12T17:27:22Z</dcterms:created>
  <dcterms:modified xsi:type="dcterms:W3CDTF">2026-03-12T19:01:52Z</dcterms:modified>
</cp:coreProperties>
</file>